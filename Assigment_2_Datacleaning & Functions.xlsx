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1075" windowHeight="8265" activeTab="6"/>
  </bookViews>
  <sheets>
    <sheet name="ans_1" sheetId="1" r:id="rId1"/>
    <sheet name="ans_2" sheetId="2" r:id="rId2"/>
    <sheet name="ans 3" sheetId="3" r:id="rId3"/>
    <sheet name="ans_4" sheetId="4" r:id="rId4"/>
    <sheet name="ans_5" sheetId="5" r:id="rId5"/>
    <sheet name="ans_6" sheetId="6" r:id="rId6"/>
    <sheet name="ans_7" sheetId="7" r:id="rId7"/>
    <sheet name="ans_8" sheetId="8" r:id="rId8"/>
  </sheets>
  <calcPr calcId="144525"/>
</workbook>
</file>

<file path=xl/calcChain.xml><?xml version="1.0" encoding="utf-8"?>
<calcChain xmlns="http://schemas.openxmlformats.org/spreadsheetml/2006/main">
  <c r="C24" i="8" l="1"/>
  <c r="D22" i="8"/>
  <c r="E22" i="8" s="1"/>
  <c r="C19" i="8"/>
  <c r="C14" i="8"/>
  <c r="E27" i="7"/>
  <c r="E28" i="7"/>
  <c r="E29" i="7"/>
  <c r="E30" i="7"/>
  <c r="E26" i="7"/>
  <c r="C11" i="7"/>
  <c r="C17" i="7"/>
  <c r="C14" i="7"/>
  <c r="E20" i="7"/>
  <c r="C21" i="6"/>
  <c r="C18" i="6"/>
  <c r="C15" i="6"/>
  <c r="C12" i="6"/>
  <c r="C9" i="6"/>
  <c r="C24" i="3"/>
  <c r="C18" i="3"/>
  <c r="C14" i="3"/>
  <c r="C10" i="3"/>
  <c r="C6" i="3"/>
</calcChain>
</file>

<file path=xl/sharedStrings.xml><?xml version="1.0" encoding="utf-8"?>
<sst xmlns="http://schemas.openxmlformats.org/spreadsheetml/2006/main" count="259" uniqueCount="201">
  <si>
    <t>What is data cleaning, and why is it important in data analysis?</t>
  </si>
  <si>
    <t>Que:1</t>
  </si>
  <si>
    <t>Ans:1</t>
  </si>
  <si>
    <t>What are the potential consequences of analyzing unclean or messy data?</t>
  </si>
  <si>
    <t>Explain the common steps involved in cleaning and organizing data.</t>
  </si>
  <si>
    <t>How would you sort the following dataset first by "Department" (A-Z) and then by "Salary" (Largest to Smallest)? Write a step-by-step approach.</t>
  </si>
  <si>
    <t>Que:2</t>
  </si>
  <si>
    <t>Ans:2</t>
  </si>
  <si>
    <t>Sonu</t>
  </si>
  <si>
    <t>Pranav</t>
  </si>
  <si>
    <t>Rahul</t>
  </si>
  <si>
    <t>Employee</t>
  </si>
  <si>
    <t>Department</t>
  </si>
  <si>
    <t>Salary</t>
  </si>
  <si>
    <t>IT</t>
  </si>
  <si>
    <t>HR</t>
  </si>
  <si>
    <r>
      <t>Inaccurate Insights:</t>
    </r>
    <r>
      <rPr>
        <sz val="14"/>
        <color theme="1"/>
        <rFont val="Calibri"/>
        <family val="2"/>
        <scheme val="minor"/>
      </rPr>
      <t xml:space="preserve"> You may identify trends that don't exist or miss ones that do, leading to the </t>
    </r>
    <r>
      <rPr>
        <b/>
        <sz val="14"/>
        <color theme="1"/>
        <rFont val="Calibri"/>
        <family val="2"/>
        <scheme val="minor"/>
      </rPr>
      <t>"Garbage In, Garbage Out"</t>
    </r>
    <r>
      <rPr>
        <sz val="14"/>
        <color theme="1"/>
        <rFont val="Calibri"/>
        <family val="2"/>
        <scheme val="minor"/>
      </rPr>
      <t xml:space="preserve"> problem.</t>
    </r>
  </si>
  <si>
    <r>
      <t>Poor Decision-Making:</t>
    </r>
    <r>
      <rPr>
        <sz val="14"/>
        <color theme="1"/>
        <rFont val="Calibri"/>
        <family val="2"/>
        <scheme val="minor"/>
      </rPr>
      <t xml:space="preserve"> Organizations may waste money, misallocate resources, or implement failing policies based on "false" evidence.</t>
    </r>
  </si>
  <si>
    <r>
      <t>Loss of Trust:</t>
    </r>
    <r>
      <rPr>
        <sz val="14"/>
        <color theme="1"/>
        <rFont val="Calibri"/>
        <family val="2"/>
        <scheme val="minor"/>
      </rPr>
      <t xml:space="preserve"> Stakeholders lose confidence in reports and audits if the underlying data is proven to be riddled with errors or inconsistencies.</t>
    </r>
  </si>
  <si>
    <r>
      <t>Increased Costs:</t>
    </r>
    <r>
      <rPr>
        <sz val="14"/>
        <color theme="1"/>
        <rFont val="Calibri"/>
        <family val="2"/>
        <scheme val="minor"/>
      </rPr>
      <t xml:space="preserve"> It is significantly more expensive and time-consuming to fix errors </t>
    </r>
    <r>
      <rPr>
        <i/>
        <sz val="14"/>
        <color theme="1"/>
        <rFont val="Calibri"/>
        <family val="2"/>
        <scheme val="minor"/>
      </rPr>
      <t>after</t>
    </r>
    <r>
      <rPr>
        <sz val="14"/>
        <color theme="1"/>
        <rFont val="Calibri"/>
        <family val="2"/>
        <scheme val="minor"/>
      </rPr>
      <t xml:space="preserve"> a project is completed than to clean the data at the start.</t>
    </r>
  </si>
  <si>
    <r>
      <t>Algorithmic Bias:</t>
    </r>
    <r>
      <rPr>
        <sz val="14"/>
        <color theme="1"/>
        <rFont val="Calibri"/>
        <family val="2"/>
        <scheme val="minor"/>
      </rPr>
      <t xml:space="preserve"> Machine learning models can "learn" incorrect patterns, leading to unfair or discriminatory outcomes.</t>
    </r>
  </si>
  <si>
    <r>
      <rPr>
        <b/>
        <sz val="14"/>
        <color theme="1"/>
        <rFont val="Calibri"/>
        <family val="2"/>
        <scheme val="minor"/>
      </rPr>
      <t>Remove Duplicates &amp; Irrelevant Data</t>
    </r>
    <r>
      <rPr>
        <sz val="14"/>
        <color theme="1"/>
        <rFont val="Calibri"/>
        <family val="2"/>
        <scheme val="minor"/>
      </rPr>
      <t>: Delete identical entries and strip away information that doesn't relate to your specific analysis goal.</t>
    </r>
  </si>
  <si>
    <r>
      <t>Fix Structural Errors:</t>
    </r>
    <r>
      <rPr>
        <sz val="14"/>
        <color theme="1"/>
        <rFont val="Calibri"/>
        <family val="2"/>
        <scheme val="minor"/>
      </rPr>
      <t xml:space="preserve"> Standardize naming conventions (e.g., changing "N/A" to "Null"), fix typos, and ensure consistent capitalization.</t>
    </r>
  </si>
  <si>
    <r>
      <t>Standardize Formats:</t>
    </r>
    <r>
      <rPr>
        <sz val="14"/>
        <color theme="1"/>
        <rFont val="Calibri"/>
        <family val="2"/>
        <scheme val="minor"/>
      </rPr>
      <t xml:space="preserve"> Make sure all dates, currencies, and units of measurement follow the same pattern (e.g., all dates as </t>
    </r>
    <r>
      <rPr>
        <sz val="14"/>
        <color theme="1"/>
        <rFont val="Arial Unicode MS"/>
        <family val="2"/>
      </rPr>
      <t>DD-MM-YYYY</t>
    </r>
    <r>
      <rPr>
        <sz val="14"/>
        <color theme="1"/>
        <rFont val="Calibri"/>
        <family val="2"/>
        <scheme val="minor"/>
      </rPr>
      <t>)</t>
    </r>
  </si>
  <si>
    <r>
      <t>Handle Missing Values:</t>
    </r>
    <r>
      <rPr>
        <sz val="14"/>
        <color theme="1"/>
        <rFont val="Calibri"/>
        <family val="2"/>
        <scheme val="minor"/>
      </rPr>
      <t xml:space="preserve"> Either delete rows with missing info or "impute" them by filling the gaps with a logical average (mean or median).</t>
    </r>
  </si>
  <si>
    <r>
      <t>Filter Outliers:</t>
    </r>
    <r>
      <rPr>
        <sz val="14"/>
        <color theme="1"/>
        <rFont val="Calibri"/>
        <family val="2"/>
        <scheme val="minor"/>
      </rPr>
      <t xml:space="preserve"> Identify and remove extreme values that are likely data-entry errors (e.g., an age of "200").</t>
    </r>
  </si>
  <si>
    <t>a.</t>
  </si>
  <si>
    <t>b.</t>
  </si>
  <si>
    <r>
      <t>Data cleaning</t>
    </r>
    <r>
      <rPr>
        <sz val="14"/>
        <color theme="1"/>
        <rFont val="Calibri"/>
        <family val="2"/>
        <scheme val="minor"/>
      </rPr>
      <t xml:space="preserve"> is the process of identifying and fixing (or removing) errors, duplicates, and inconsistencies in a dataset to ensure it is accurate </t>
    </r>
  </si>
  <si>
    <t xml:space="preserve">and ready for analysis. It is important because it Prevents Errors, Ensures Accuracy, Improves Efficiency, Saves Costs </t>
  </si>
  <si>
    <t>1. Select the data range (C8:E11)</t>
  </si>
  <si>
    <r>
      <t>2. Go to the</t>
    </r>
    <r>
      <rPr>
        <b/>
        <sz val="14"/>
        <color theme="1"/>
        <rFont val="Calibri"/>
        <family val="2"/>
        <scheme val="minor"/>
      </rPr>
      <t xml:space="preserve"> Data</t>
    </r>
    <r>
      <rPr>
        <sz val="14"/>
        <color theme="1"/>
        <rFont val="Calibri"/>
        <family val="2"/>
        <scheme val="minor"/>
      </rPr>
      <t xml:space="preserve"> tab on the Ribbon and click the </t>
    </r>
    <r>
      <rPr>
        <b/>
        <sz val="14"/>
        <color theme="1"/>
        <rFont val="Calibri"/>
        <family val="2"/>
        <scheme val="minor"/>
      </rPr>
      <t xml:space="preserve">Sort </t>
    </r>
    <r>
      <rPr>
        <sz val="14"/>
        <color theme="1"/>
        <rFont val="Calibri"/>
        <family val="2"/>
        <scheme val="minor"/>
      </rPr>
      <t>button.</t>
    </r>
  </si>
  <si>
    <t>(Then by):</t>
  </si>
  <si>
    <r>
      <t xml:space="preserve">3. Set "Column" to </t>
    </r>
    <r>
      <rPr>
        <b/>
        <sz val="14"/>
        <color theme="1"/>
        <rFont val="Calibri"/>
        <family val="2"/>
        <scheme val="minor"/>
      </rPr>
      <t>Department</t>
    </r>
    <r>
      <rPr>
        <sz val="14"/>
        <color theme="1"/>
        <rFont val="Calibri"/>
        <family val="2"/>
        <scheme val="minor"/>
      </rPr>
      <t xml:space="preserve"> , "Sort On" to Cell Values, and "Order" to</t>
    </r>
    <r>
      <rPr>
        <b/>
        <sz val="14"/>
        <color theme="1"/>
        <rFont val="Calibri"/>
        <family val="2"/>
        <scheme val="minor"/>
      </rPr>
      <t xml:space="preserve"> A to Z.</t>
    </r>
  </si>
  <si>
    <t>1. Select the data range (C13:E16)</t>
  </si>
  <si>
    <r>
      <t xml:space="preserve"> 2. Go to the</t>
    </r>
    <r>
      <rPr>
        <b/>
        <sz val="14"/>
        <color theme="1"/>
        <rFont val="Calibri"/>
        <family val="2"/>
        <scheme val="minor"/>
      </rPr>
      <t xml:space="preserve"> Data </t>
    </r>
    <r>
      <rPr>
        <sz val="14"/>
        <color theme="1"/>
        <rFont val="Calibri"/>
        <family val="2"/>
        <scheme val="minor"/>
      </rPr>
      <t>tab on the Ribbon and click the</t>
    </r>
    <r>
      <rPr>
        <b/>
        <sz val="14"/>
        <color theme="1"/>
        <rFont val="Calibri"/>
        <family val="2"/>
        <scheme val="minor"/>
      </rPr>
      <t xml:space="preserve"> Sort</t>
    </r>
    <r>
      <rPr>
        <sz val="14"/>
        <color theme="1"/>
        <rFont val="Calibri"/>
        <family val="2"/>
        <scheme val="minor"/>
      </rPr>
      <t xml:space="preserve"> button.</t>
    </r>
  </si>
  <si>
    <r>
      <t xml:space="preserve">3. Set "Column" to </t>
    </r>
    <r>
      <rPr>
        <b/>
        <sz val="14"/>
        <color theme="1"/>
        <rFont val="Calibri"/>
        <family val="2"/>
        <scheme val="minor"/>
      </rPr>
      <t>Salary</t>
    </r>
    <r>
      <rPr>
        <sz val="14"/>
        <color theme="1"/>
        <rFont val="Calibri"/>
        <family val="2"/>
        <scheme val="minor"/>
      </rPr>
      <t xml:space="preserve">, "Sort On" to Cell Values, and "Order" to </t>
    </r>
    <r>
      <rPr>
        <b/>
        <sz val="14"/>
        <color theme="1"/>
        <rFont val="Calibri"/>
        <family val="2"/>
        <scheme val="minor"/>
      </rPr>
      <t>Largest to Smallest.</t>
    </r>
  </si>
  <si>
    <t>Explain the use of text functions such as TRIM , LEFT, RIGHT, MID, and CONCAT in data cleaning.</t>
  </si>
  <si>
    <t>Que:3</t>
  </si>
  <si>
    <t>Ans:3</t>
  </si>
  <si>
    <t>TRIM is used to remove all leading and trailing spaces from a cell, and it reduces multiple internal spaces to a single space.</t>
  </si>
  <si>
    <t xml:space="preserve">  Minaxi    Verma</t>
  </si>
  <si>
    <t>Education</t>
  </si>
  <si>
    <t>RIGHT extracts a specific number of characters starting from the far-right side of a text string</t>
  </si>
  <si>
    <t>Formula: =TRIM(C5)</t>
  </si>
  <si>
    <t>LEFT extracts a specific number of characters starting from the far-left side of a text string.</t>
  </si>
  <si>
    <t>Formula: =LEFT(C9, 3)</t>
  </si>
  <si>
    <t>MID returns a specific number of characters from a text string, starting at the position you specify.</t>
  </si>
  <si>
    <t>Formula: =RIGHT(C13, 3)</t>
  </si>
  <si>
    <t>My Education</t>
  </si>
  <si>
    <t>Formula: =MID(C17,4,3)</t>
  </si>
  <si>
    <t>CONCAT (or CONCATENATE) joins two or more text strings together..</t>
  </si>
  <si>
    <t xml:space="preserve"> This is used to create full names or unique identifiers from separate columns</t>
  </si>
  <si>
    <t>Minaxi</t>
  </si>
  <si>
    <t>Verma</t>
  </si>
  <si>
    <t>Formula: =CONCAT(C22, " ",C23)</t>
  </si>
  <si>
    <t>What is the role of date functions like TODAY in managing datasets?</t>
  </si>
  <si>
    <t>Que:4</t>
  </si>
  <si>
    <t>Ans:4</t>
  </si>
  <si>
    <t>Date functions like TODAY are vital for managing datasets because they allow you to create "dynamic"</t>
  </si>
  <si>
    <t xml:space="preserve"> reports that update themselves every time you open your files.</t>
  </si>
  <si>
    <t>1. Calculating Age or Tenure: By subtracting a past date (like a birth date or hire date) from TODAY(),</t>
  </si>
  <si>
    <t xml:space="preserve">     you can find an employee's current age or years of service.</t>
  </si>
  <si>
    <t>2. Financial Accuracy: They help in financial modeling for tasks like discounting cash flows based on the current date.</t>
  </si>
  <si>
    <t>3. Highlighting Real-Time Data: You can use these functions in conditional formatting to automatically highlight tasks</t>
  </si>
  <si>
    <t xml:space="preserve">     that are due today or are overdue.</t>
  </si>
  <si>
    <t>4. Tracking Deadlines: You can calculate how many days are left until a project or contract expires.</t>
  </si>
  <si>
    <t>Apply Data Validation to restrict Quantity values to only whole numbers between 1 and 10</t>
  </si>
  <si>
    <t>Configure an input message that appears when a user selects a cell in the "Quantity" column explaining</t>
  </si>
  <si>
    <t>"Please enter a whole number between 1 and 10."</t>
  </si>
  <si>
    <t>Set up an error alert message that triggers if the user enters a number less than 1 or greater than 10, showing:</t>
  </si>
  <si>
    <t>"Invalid input! The quantity must be a whole number between 1 and 10."</t>
  </si>
  <si>
    <t>Que:5</t>
  </si>
  <si>
    <t>Ans:5</t>
  </si>
  <si>
    <t>Customer Name</t>
  </si>
  <si>
    <t>Product Name</t>
  </si>
  <si>
    <t>Category</t>
  </si>
  <si>
    <t>Quantity</t>
  </si>
  <si>
    <t>Unit Price (s)</t>
  </si>
  <si>
    <t>Jane Smith</t>
  </si>
  <si>
    <t>Shoes</t>
  </si>
  <si>
    <t>Electronics</t>
  </si>
  <si>
    <t>Isabella Moore</t>
  </si>
  <si>
    <t>Laptop</t>
  </si>
  <si>
    <t>Daniel Davis</t>
  </si>
  <si>
    <t>Sofa</t>
  </si>
  <si>
    <t>Clothing</t>
  </si>
  <si>
    <t>Alex Moore</t>
  </si>
  <si>
    <t>Michael Johnson</t>
  </si>
  <si>
    <t>Table Lamp</t>
  </si>
  <si>
    <t>Daniel Johnson</t>
  </si>
  <si>
    <t>Backpack</t>
  </si>
  <si>
    <t>Isabella Davis</t>
  </si>
  <si>
    <t>Headphones</t>
  </si>
  <si>
    <t>Jane Davis</t>
  </si>
  <si>
    <t>Alex Wilson</t>
  </si>
  <si>
    <t>T Shirt</t>
  </si>
  <si>
    <t>The step-by-step procedure:</t>
  </si>
  <si>
    <t>Set Allow to Whole number.</t>
  </si>
  <si>
    <t>Set Data to between.</t>
  </si>
  <si>
    <t>Enter Minimum = 1 and Maximum = 10.</t>
  </si>
  <si>
    <t>Check Show input message when cell is selected.</t>
  </si>
  <si>
    <t>Enter the message: “Please enter a whole number between 1 and 10.”</t>
  </si>
  <si>
    <t>Set Style to Stop.</t>
  </si>
  <si>
    <t>Title: “Invalid input!”</t>
  </si>
  <si>
    <t>Error message: “The quantity must be a whole number between 1 and 10.”</t>
  </si>
  <si>
    <t>1:    Select the cells under the Quantity column where you want to apply validation.</t>
  </si>
  <si>
    <t>2:    Go to the Data tab on the Ribbon.</t>
  </si>
  <si>
    <t>3:    Click Data Validation → Data Validation…</t>
  </si>
  <si>
    <t>4:     In the Settings tab:</t>
  </si>
  <si>
    <t>5:      In the Input Message tab:</t>
  </si>
  <si>
    <t>6:      In the Error Alert tab:</t>
  </si>
  <si>
    <t>7:       Click OK to apply the settings.</t>
  </si>
  <si>
    <t>8:       Test the rule by trying to enter values below 1 or above 10.</t>
  </si>
  <si>
    <t>Que:6</t>
  </si>
  <si>
    <t>Home Decor</t>
  </si>
  <si>
    <t xml:space="preserve"> Understand and apply fundamental text functions like LEFT, RIGHT, MID, and LEN</t>
  </si>
  <si>
    <t>Extract the first 5 characters from the string "ExcelTipsAreGreat" using the LEFT function.</t>
  </si>
  <si>
    <t>Extract the last 4 characters from "DataAnalysis.xlsx" using the RIGHT function.</t>
  </si>
  <si>
    <t>Extract the substring "Tips" from "ExcelTipsAreGreat" using the MID function</t>
  </si>
  <si>
    <t>Count the total number of characters in the string "Hello World!" using the LEN function.</t>
  </si>
  <si>
    <t>c.</t>
  </si>
  <si>
    <t>d.</t>
  </si>
  <si>
    <t>ExcelTipsAreGreat</t>
  </si>
  <si>
    <t>Formula: =LEFT(C8,5)</t>
  </si>
  <si>
    <t>DataAnalysis.xlsx</t>
  </si>
  <si>
    <t>Formula: =RIGHT(C11,4)</t>
  </si>
  <si>
    <t>Formula: =MID(C14,6,4)</t>
  </si>
  <si>
    <t>Hello World!</t>
  </si>
  <si>
    <t>Formula: =LEN(C17)</t>
  </si>
  <si>
    <t>Create a formula to extract the middle 6 characters from "12345-67890-ABCDE"</t>
  </si>
  <si>
    <t>e.</t>
  </si>
  <si>
    <t>Ans_6a.</t>
  </si>
  <si>
    <t>12345-67890-ABCDE</t>
  </si>
  <si>
    <t>Formula: =MID(C20,6,6)</t>
  </si>
  <si>
    <t>Que:7</t>
  </si>
  <si>
    <t>Understand how to combine text using CONCAT, TEXTJOIN, and the &amp; operator.</t>
  </si>
  <si>
    <t>Use CONCAT to combine "Hello" and "World" with a space in between.</t>
  </si>
  <si>
    <t>Combine "Apple", "Banana", and "Cherry" into a single string separated by commas using TEXTJOIN.</t>
  </si>
  <si>
    <t>Use the &amp; operator to create the string "2025: Excel Functions" by combining "2025", ": ", and "Excel Functions"</t>
  </si>
  <si>
    <t>Create a comma-separated list from the range A1:A5 using TEXTJOIN</t>
  </si>
  <si>
    <t>Combine first names in column A with last names in column B to create full names in column C.</t>
  </si>
  <si>
    <t>Ans_7</t>
  </si>
  <si>
    <t>Hello</t>
  </si>
  <si>
    <t>World</t>
  </si>
  <si>
    <t>Formula: =CONCAT(C9, " ",D9)</t>
  </si>
  <si>
    <t>Apple</t>
  </si>
  <si>
    <t>Banana</t>
  </si>
  <si>
    <t>Cherry</t>
  </si>
  <si>
    <t>Formula: =TEXTJOIN( ",",TRUE,C13,D13,E13)</t>
  </si>
  <si>
    <t>:</t>
  </si>
  <si>
    <t>Excel Functions</t>
  </si>
  <si>
    <t>Formula: =CONCAT(C16,D16 "," ,E16)</t>
  </si>
  <si>
    <t>My</t>
  </si>
  <si>
    <t>Hello!</t>
  </si>
  <si>
    <t>name</t>
  </si>
  <si>
    <t>is</t>
  </si>
  <si>
    <t>Formula: =TEXTJOIN( ",",TRUE,C19:C23)</t>
  </si>
  <si>
    <t>Riya</t>
  </si>
  <si>
    <t>Jiyani</t>
  </si>
  <si>
    <t>Aashima</t>
  </si>
  <si>
    <t>Arora</t>
  </si>
  <si>
    <t>Sakshi</t>
  </si>
  <si>
    <t>Jain</t>
  </si>
  <si>
    <t>Mahima</t>
  </si>
  <si>
    <t>Tiwari</t>
  </si>
  <si>
    <t>Reha</t>
  </si>
  <si>
    <t>Chugh</t>
  </si>
  <si>
    <t>A</t>
  </si>
  <si>
    <t>B</t>
  </si>
  <si>
    <t>C</t>
  </si>
  <si>
    <t>Formula: =CONCAT(C26,"," ,D26)</t>
  </si>
  <si>
    <t>Understanding TODAY() and NOW()</t>
  </si>
  <si>
    <t xml:space="preserve"> What is the difference between TODAY() and NOW() in Excel? Provide an example of when you would use each function</t>
  </si>
  <si>
    <t>If cell A1 contains the date 2025-06-10, write a formula using TODAY() to determine how many days are left until that date.</t>
  </si>
  <si>
    <t>Write an Excel formula using NOW() to display the current date and time in the format MM/DD/YYYY HH:MM AM/PM.</t>
  </si>
  <si>
    <t xml:space="preserve"> If a cell contains =TODAY(), what will happen when the worksheet is reopened the next day? Explain</t>
  </si>
  <si>
    <t>You want to store a static date (today’s date) in a cell without it changing every day. shortcut should you use?</t>
  </si>
  <si>
    <t>The primary difference between TODAY and NOW is the level of detail they provide: TODAY() only gives you the current date,</t>
  </si>
  <si>
    <t xml:space="preserve"> while NOW() gives you the current date and the exact time.</t>
  </si>
  <si>
    <t>Ans_7a.</t>
  </si>
  <si>
    <t xml:space="preserve">When to use TODAY(). </t>
  </si>
  <si>
    <t>FORMULA : =TODAY()</t>
  </si>
  <si>
    <t> Use TODAY() when the specific hour of the day does not matter. It is ideal for calculating durations in days or years.</t>
  </si>
  <si>
    <t>When to use NOW()</t>
  </si>
  <si>
    <t>Use NOW() when you need to track time-sensitive information. It captures the exact moment</t>
  </si>
  <si>
    <t>(down to the second) that the worksheet last recalculated.</t>
  </si>
  <si>
    <t>FORMULA : =NOW()</t>
  </si>
  <si>
    <t xml:space="preserve">CURRENT DATE </t>
  </si>
  <si>
    <t xml:space="preserve">TARGET DATE </t>
  </si>
  <si>
    <t>REMAINING DAYS</t>
  </si>
  <si>
    <t>FORMULA =D22-C22</t>
  </si>
  <si>
    <t>If a cell contains the =TODAY() function, the date will automatically update to the next day's date when you reopen the worksheet.</t>
  </si>
  <si>
    <t>To store a static date that will never change, you should use the following keyboard shortcut:</t>
  </si>
  <si>
    <t>Ctrl + ; (Control + Semicolon)</t>
  </si>
  <si>
    <t>MM/DD/YYYY HH:MM AM/PM.</t>
  </si>
  <si>
    <t>Right-click on the cell containing the formula.</t>
  </si>
  <si>
    <t>Select Format Cells... from the menu (or press the shortcut Ctrl + 1)</t>
  </si>
  <si>
    <t>Go to the Number tab.In the Category list on the left, click Custom.</t>
  </si>
  <si>
    <t>In the Type box on the right, delete whatever is there and type exactly this:</t>
  </si>
  <si>
    <t>Click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</si>
</sst>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mm/dd/yyyy\ hh:mm\ AM/PM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1"/>
      <name val="Arial Unicode MS"/>
      <family val="2"/>
    </font>
    <font>
      <b/>
      <u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0" fillId="0" borderId="0" xfId="0" applyFill="1"/>
    <xf numFmtId="0" fontId="1" fillId="2" borderId="0" xfId="0" applyFont="1" applyFill="1"/>
    <xf numFmtId="0" fontId="1" fillId="0" borderId="0" xfId="0" applyFont="1"/>
    <xf numFmtId="0" fontId="1" fillId="0" borderId="0" xfId="0" applyFont="1" applyFill="1"/>
    <xf numFmtId="0" fontId="2" fillId="0" borderId="1" xfId="0" applyFont="1" applyFill="1" applyBorder="1"/>
    <xf numFmtId="0" fontId="2" fillId="0" borderId="1" xfId="0" applyFont="1" applyBorder="1"/>
    <xf numFmtId="0" fontId="1" fillId="0" borderId="1" xfId="0" applyFont="1" applyBorder="1"/>
    <xf numFmtId="0" fontId="2" fillId="0" borderId="0" xfId="0" applyFont="1" applyFill="1"/>
    <xf numFmtId="0" fontId="1" fillId="0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0" fillId="7" borderId="0" xfId="0" applyFill="1"/>
    <xf numFmtId="0" fontId="2" fillId="6" borderId="1" xfId="0" applyFont="1" applyFill="1" applyBorder="1"/>
    <xf numFmtId="0" fontId="1" fillId="6" borderId="1" xfId="0" applyFont="1" applyFill="1" applyBorder="1"/>
    <xf numFmtId="0" fontId="2" fillId="4" borderId="0" xfId="0" applyFont="1" applyFill="1"/>
    <xf numFmtId="0" fontId="2" fillId="7" borderId="0" xfId="0" applyFont="1" applyFill="1"/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8" borderId="0" xfId="0" applyFont="1" applyFill="1"/>
    <xf numFmtId="0" fontId="1" fillId="3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right"/>
    </xf>
    <xf numFmtId="0" fontId="2" fillId="8" borderId="0" xfId="0" applyFont="1" applyFill="1"/>
    <xf numFmtId="0" fontId="2" fillId="8" borderId="0" xfId="0" applyFont="1" applyFill="1" applyAlignment="1">
      <alignment horizontal="left"/>
    </xf>
    <xf numFmtId="0" fontId="1" fillId="5" borderId="0" xfId="0" applyFont="1" applyFill="1" applyAlignment="1">
      <alignment horizontal="right"/>
    </xf>
    <xf numFmtId="0" fontId="2" fillId="5" borderId="0" xfId="0" applyFont="1" applyFill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14" fontId="2" fillId="4" borderId="0" xfId="0" applyNumberFormat="1" applyFont="1" applyFill="1"/>
    <xf numFmtId="22" fontId="2" fillId="4" borderId="0" xfId="0" applyNumberFormat="1" applyFont="1" applyFill="1"/>
    <xf numFmtId="0" fontId="1" fillId="4" borderId="0" xfId="0" applyFont="1" applyFill="1" applyAlignment="1">
      <alignment horizontal="right"/>
    </xf>
    <xf numFmtId="0" fontId="2" fillId="4" borderId="1" xfId="0" applyFont="1" applyFill="1" applyBorder="1" applyAlignment="1">
      <alignment horizontal="right"/>
    </xf>
    <xf numFmtId="14" fontId="2" fillId="4" borderId="1" xfId="0" applyNumberFormat="1" applyFont="1" applyFill="1" applyBorder="1"/>
    <xf numFmtId="0" fontId="2" fillId="4" borderId="1" xfId="0" applyFont="1" applyFill="1" applyBorder="1"/>
    <xf numFmtId="168" fontId="2" fillId="4" borderId="0" xfId="0" applyNumberFormat="1" applyFont="1" applyFill="1"/>
    <xf numFmtId="168" fontId="1" fillId="4" borderId="0" xfId="0" applyNumberFormat="1" applyFont="1" applyFill="1"/>
    <xf numFmtId="168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Z226"/>
  <sheetViews>
    <sheetView workbookViewId="0">
      <selection activeCell="B3" sqref="B3"/>
    </sheetView>
  </sheetViews>
  <sheetFormatPr defaultRowHeight="15" x14ac:dyDescent="0.25"/>
  <cols>
    <col min="3" max="3" width="10.42578125" customWidth="1"/>
    <col min="4" max="4" width="11.7109375" bestFit="1" customWidth="1"/>
    <col min="5" max="5" width="7.140625" customWidth="1"/>
  </cols>
  <sheetData>
    <row r="1" spans="2:52" ht="18.75" x14ac:dyDescent="0.3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2:52" ht="18.75" x14ac:dyDescent="0.3">
      <c r="B2" s="3" t="s">
        <v>1</v>
      </c>
      <c r="C2" s="3" t="s">
        <v>0</v>
      </c>
      <c r="D2" s="3"/>
      <c r="E2" s="3"/>
      <c r="F2" s="3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2:52" ht="18.75" x14ac:dyDescent="0.3">
      <c r="B3" s="13" t="s">
        <v>2</v>
      </c>
      <c r="C3" s="20" t="s">
        <v>28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2:52" ht="18.75" x14ac:dyDescent="0.3">
      <c r="B4" s="5"/>
      <c r="C4" s="13" t="s">
        <v>29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2:52" ht="18.75" x14ac:dyDescent="0.3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2:52" ht="18.75" x14ac:dyDescent="0.3">
      <c r="B6" s="11" t="s">
        <v>26</v>
      </c>
      <c r="C6" s="3" t="s">
        <v>3</v>
      </c>
      <c r="D6" s="3"/>
      <c r="E6" s="3"/>
      <c r="F6" s="3"/>
      <c r="G6" s="3"/>
      <c r="H6" s="3"/>
      <c r="I6" s="3"/>
      <c r="J6" s="3"/>
      <c r="K6" s="3"/>
      <c r="L6" s="5"/>
      <c r="M6" s="5"/>
      <c r="N6" s="5"/>
      <c r="O6" s="5"/>
      <c r="P6" s="5"/>
      <c r="Q6" s="5"/>
      <c r="R6" s="5"/>
      <c r="S6" s="5"/>
      <c r="T6" s="5"/>
      <c r="U6" s="5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2:52" ht="18.75" x14ac:dyDescent="0.3">
      <c r="B7" s="4"/>
      <c r="C7" s="20" t="s">
        <v>16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2:52" ht="18.75" x14ac:dyDescent="0.3">
      <c r="B8" s="4"/>
      <c r="C8" s="20" t="s">
        <v>17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2:52" ht="18.75" x14ac:dyDescent="0.3">
      <c r="B9" s="4"/>
      <c r="C9" s="20" t="s">
        <v>18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2:52" ht="18.75" x14ac:dyDescent="0.3">
      <c r="B10" s="4"/>
      <c r="C10" s="20" t="s">
        <v>19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2:52" ht="18.75" x14ac:dyDescent="0.3">
      <c r="B11" s="4"/>
      <c r="C11" s="20" t="s">
        <v>20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2:52" s="2" customFormat="1" ht="18.75" x14ac:dyDescent="0.3">
      <c r="B12" s="5"/>
      <c r="C12" s="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2:52" ht="18.75" x14ac:dyDescent="0.3">
      <c r="B13" s="11" t="s">
        <v>27</v>
      </c>
      <c r="C13" s="3" t="s">
        <v>4</v>
      </c>
      <c r="D13" s="3"/>
      <c r="E13" s="3"/>
      <c r="F13" s="3"/>
      <c r="G13" s="3"/>
      <c r="H13" s="3"/>
      <c r="I13" s="3"/>
      <c r="J13" s="3"/>
      <c r="K13" s="5"/>
      <c r="L13" s="5"/>
      <c r="M13" s="5"/>
      <c r="N13" s="5"/>
      <c r="O13" s="5"/>
      <c r="P13" s="5"/>
      <c r="Q13" s="5"/>
      <c r="R13" s="5"/>
      <c r="S13" s="5"/>
      <c r="T13" s="5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2:52" ht="18.75" x14ac:dyDescent="0.3">
      <c r="B14" s="4"/>
      <c r="C14" s="13" t="s">
        <v>21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2:52" ht="18.75" x14ac:dyDescent="0.3">
      <c r="B15" s="4"/>
      <c r="C15" s="20" t="s">
        <v>22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2:52" ht="20.25" x14ac:dyDescent="0.35">
      <c r="B16" s="4"/>
      <c r="C16" s="20" t="s">
        <v>23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2:52" ht="18.75" x14ac:dyDescent="0.3">
      <c r="B17" s="4"/>
      <c r="C17" s="20" t="s">
        <v>24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2:52" ht="18.75" x14ac:dyDescent="0.3">
      <c r="B18" s="4"/>
      <c r="C18" s="20" t="s">
        <v>25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2:52" ht="18.75" x14ac:dyDescent="0.3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2:52" ht="18.75" x14ac:dyDescent="0.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2:52" ht="18.75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2:52" ht="18.75" x14ac:dyDescent="0.3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2:52" ht="18.75" x14ac:dyDescent="0.3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2:52" ht="18.75" x14ac:dyDescent="0.3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2:52" ht="18.75" x14ac:dyDescent="0.3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2:52" ht="18.75" x14ac:dyDescent="0.3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2:52" ht="18.75" x14ac:dyDescent="0.3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2:52" ht="18.75" x14ac:dyDescent="0.3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2:52" ht="18.75" x14ac:dyDescent="0.3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2:52" ht="18.75" x14ac:dyDescent="0.3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2:52" ht="18.75" x14ac:dyDescent="0.3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2:52" ht="18.75" x14ac:dyDescent="0.3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spans="2:52" ht="18.75" x14ac:dyDescent="0.3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spans="2:52" ht="18.75" x14ac:dyDescent="0.3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spans="2:52" ht="18.75" x14ac:dyDescent="0.3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2:52" ht="18.75" x14ac:dyDescent="0.3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2:52" ht="18.75" x14ac:dyDescent="0.3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spans="2:52" ht="18.75" x14ac:dyDescent="0.3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spans="2:52" ht="18.75" x14ac:dyDescent="0.3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spans="2:52" ht="18.75" x14ac:dyDescent="0.3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spans="2:52" ht="18.75" x14ac:dyDescent="0.3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spans="2:52" ht="18.75" x14ac:dyDescent="0.3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spans="2:52" ht="18.75" x14ac:dyDescent="0.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spans="2:52" ht="18.75" x14ac:dyDescent="0.3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spans="2:52" ht="18.75" x14ac:dyDescent="0.3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spans="2:52" ht="18.75" x14ac:dyDescent="0.3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spans="2:52" ht="18.75" x14ac:dyDescent="0.3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spans="2:52" ht="18.75" x14ac:dyDescent="0.3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spans="2:52" ht="18.75" x14ac:dyDescent="0.3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spans="2:52" ht="18.75" x14ac:dyDescent="0.3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spans="2:52" ht="18.75" x14ac:dyDescent="0.3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spans="2:52" ht="18.75" x14ac:dyDescent="0.3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spans="2:52" ht="18.75" x14ac:dyDescent="0.3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spans="2:52" ht="18.75" x14ac:dyDescent="0.3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spans="2:52" ht="18.75" x14ac:dyDescent="0.3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spans="2:52" ht="18.75" x14ac:dyDescent="0.3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spans="2:52" ht="18.75" x14ac:dyDescent="0.3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spans="2:52" ht="18.75" x14ac:dyDescent="0.3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spans="2:52" ht="18.75" x14ac:dyDescent="0.3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spans="2:52" ht="18.75" x14ac:dyDescent="0.3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spans="2:52" ht="18.75" x14ac:dyDescent="0.3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spans="2:52" ht="18.75" x14ac:dyDescent="0.3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spans="2:52" ht="18.75" x14ac:dyDescent="0.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spans="2:52" ht="18.75" x14ac:dyDescent="0.3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spans="2:52" ht="18.75" x14ac:dyDescent="0.3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spans="2:52" ht="18.75" x14ac:dyDescent="0.3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spans="2:52" ht="18.75" x14ac:dyDescent="0.3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spans="2:52" ht="18.75" x14ac:dyDescent="0.3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spans="2:52" ht="18.75" x14ac:dyDescent="0.3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spans="2:52" ht="18.75" x14ac:dyDescent="0.3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spans="2:52" ht="18.75" x14ac:dyDescent="0.3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spans="2:52" ht="18.75" x14ac:dyDescent="0.3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spans="2:52" ht="18.75" x14ac:dyDescent="0.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spans="2:52" ht="18.75" x14ac:dyDescent="0.3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spans="2:52" ht="18.75" x14ac:dyDescent="0.3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spans="2:52" ht="18.75" x14ac:dyDescent="0.3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spans="2:52" ht="18.75" x14ac:dyDescent="0.3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spans="2:52" ht="18.75" x14ac:dyDescent="0.3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spans="2:52" ht="18.75" x14ac:dyDescent="0.3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spans="2:52" ht="18.75" x14ac:dyDescent="0.3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spans="2:52" ht="18.75" x14ac:dyDescent="0.3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spans="2:52" ht="18.75" x14ac:dyDescent="0.3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spans="2:52" ht="18.75" x14ac:dyDescent="0.3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spans="2:52" ht="18.75" x14ac:dyDescent="0.3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spans="2:52" ht="18.75" x14ac:dyDescent="0.3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spans="2:52" ht="18.75" x14ac:dyDescent="0.3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spans="2:52" ht="18.75" x14ac:dyDescent="0.3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spans="2:52" ht="18.75" x14ac:dyDescent="0.3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spans="2:52" ht="18.75" x14ac:dyDescent="0.3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spans="2:52" ht="18.75" x14ac:dyDescent="0.3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spans="2:52" ht="18.75" x14ac:dyDescent="0.3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spans="2:52" ht="18.75" x14ac:dyDescent="0.3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spans="2:52" ht="18.75" x14ac:dyDescent="0.3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spans="2:52" ht="18.75" x14ac:dyDescent="0.3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spans="2:52" ht="18.75" x14ac:dyDescent="0.3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spans="2:52" ht="18.75" x14ac:dyDescent="0.3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spans="2:52" ht="18.75" x14ac:dyDescent="0.3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spans="2:52" ht="18.75" x14ac:dyDescent="0.3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spans="2:52" ht="18.75" x14ac:dyDescent="0.3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spans="2:52" ht="18.75" x14ac:dyDescent="0.3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spans="2:52" ht="18.75" x14ac:dyDescent="0.3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spans="2:52" ht="18.75" x14ac:dyDescent="0.3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spans="2:52" ht="18.75" x14ac:dyDescent="0.3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spans="2:52" ht="18.75" x14ac:dyDescent="0.3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spans="2:52" ht="18.75" x14ac:dyDescent="0.3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spans="2:52" ht="18.75" x14ac:dyDescent="0.3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spans="2:52" ht="18.75" x14ac:dyDescent="0.3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spans="2:52" ht="18.75" x14ac:dyDescent="0.3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spans="2:52" ht="18.75" x14ac:dyDescent="0.3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spans="2:52" ht="18.75" x14ac:dyDescent="0.3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spans="2:52" ht="18.75" x14ac:dyDescent="0.3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spans="2:52" ht="18.75" x14ac:dyDescent="0.3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spans="2:52" ht="18.75" x14ac:dyDescent="0.3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spans="2:52" ht="18.75" x14ac:dyDescent="0.3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spans="2:52" ht="18.75" x14ac:dyDescent="0.3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spans="2:52" ht="18.75" x14ac:dyDescent="0.3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spans="2:52" ht="18.75" x14ac:dyDescent="0.3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spans="2:52" ht="18.75" x14ac:dyDescent="0.3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spans="2:52" ht="18.75" x14ac:dyDescent="0.3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spans="2:52" ht="18.75" x14ac:dyDescent="0.3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spans="2:52" ht="18.75" x14ac:dyDescent="0.3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spans="2:52" ht="18.75" x14ac:dyDescent="0.3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spans="2:52" ht="18.75" x14ac:dyDescent="0.3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spans="2:52" ht="18.75" x14ac:dyDescent="0.3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spans="2:52" ht="18.75" x14ac:dyDescent="0.3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spans="2:52" ht="18.75" x14ac:dyDescent="0.3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spans="2:52" ht="18.75" x14ac:dyDescent="0.3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spans="2:52" ht="18.75" x14ac:dyDescent="0.3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spans="2:52" ht="18.75" x14ac:dyDescent="0.3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spans="2:52" ht="18.75" x14ac:dyDescent="0.3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spans="2:52" ht="18.75" x14ac:dyDescent="0.3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spans="2:52" ht="18.75" x14ac:dyDescent="0.3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spans="2:52" ht="18.75" x14ac:dyDescent="0.3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spans="2:52" ht="18.75" x14ac:dyDescent="0.3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spans="2:52" ht="18.75" x14ac:dyDescent="0.3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spans="2:52" ht="18.75" x14ac:dyDescent="0.3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spans="2:52" ht="18.75" x14ac:dyDescent="0.3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spans="2:52" ht="18.75" x14ac:dyDescent="0.3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spans="2:52" ht="18.75" x14ac:dyDescent="0.3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spans="2:52" ht="18.75" x14ac:dyDescent="0.3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spans="2:52" ht="18.75" x14ac:dyDescent="0.3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spans="2:52" ht="18.75" x14ac:dyDescent="0.3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spans="2:52" ht="18.75" x14ac:dyDescent="0.3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spans="2:52" ht="18.75" x14ac:dyDescent="0.3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spans="2:52" ht="18.75" x14ac:dyDescent="0.3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spans="2:52" ht="18.75" x14ac:dyDescent="0.3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spans="2:52" ht="18.75" x14ac:dyDescent="0.3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spans="2:52" ht="18.75" x14ac:dyDescent="0.3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spans="2:52" ht="18.75" x14ac:dyDescent="0.3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spans="2:52" ht="18.75" x14ac:dyDescent="0.3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spans="2:52" ht="18.75" x14ac:dyDescent="0.3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spans="2:52" ht="18.75" x14ac:dyDescent="0.3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spans="2:52" ht="18.75" x14ac:dyDescent="0.3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spans="2:52" ht="18.75" x14ac:dyDescent="0.3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spans="2:52" ht="18.75" x14ac:dyDescent="0.3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spans="2:52" ht="18.75" x14ac:dyDescent="0.3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spans="2:52" ht="18.75" x14ac:dyDescent="0.3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spans="2:52" ht="18.75" x14ac:dyDescent="0.3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spans="2:52" ht="18.75" x14ac:dyDescent="0.3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spans="2:52" ht="18.75" x14ac:dyDescent="0.3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spans="2:52" ht="18.75" x14ac:dyDescent="0.3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spans="2:52" ht="18.75" x14ac:dyDescent="0.3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spans="2:52" ht="18.75" x14ac:dyDescent="0.3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spans="2:52" ht="18.75" x14ac:dyDescent="0.3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spans="2:52" ht="18.75" x14ac:dyDescent="0.3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spans="2:52" ht="18.75" x14ac:dyDescent="0.3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spans="2:52" ht="18.75" x14ac:dyDescent="0.3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spans="2:52" ht="18.75" x14ac:dyDescent="0.3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spans="2:52" ht="18.75" x14ac:dyDescent="0.3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spans="2:52" ht="18.75" x14ac:dyDescent="0.3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spans="2:52" ht="18.75" x14ac:dyDescent="0.3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spans="2:52" ht="18.75" x14ac:dyDescent="0.3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spans="2:52" ht="18.75" x14ac:dyDescent="0.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spans="2:52" ht="18.75" x14ac:dyDescent="0.3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spans="2:52" ht="18.75" x14ac:dyDescent="0.3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spans="2:52" ht="18.75" x14ac:dyDescent="0.3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spans="2:52" ht="18.75" x14ac:dyDescent="0.3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spans="2:52" ht="18.75" x14ac:dyDescent="0.3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spans="2:52" ht="18.75" x14ac:dyDescent="0.3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spans="2:52" ht="18.75" x14ac:dyDescent="0.3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spans="2:52" ht="18.75" x14ac:dyDescent="0.3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spans="2:52" ht="18.75" x14ac:dyDescent="0.3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spans="2:52" ht="18.75" x14ac:dyDescent="0.3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spans="2:52" ht="18.75" x14ac:dyDescent="0.3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spans="2:52" ht="18.75" x14ac:dyDescent="0.3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spans="2:52" ht="18.75" x14ac:dyDescent="0.3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spans="2:52" ht="18.75" x14ac:dyDescent="0.3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spans="2:52" ht="18.75" x14ac:dyDescent="0.3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spans="2:52" ht="18.75" x14ac:dyDescent="0.3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spans="2:52" ht="18.75" x14ac:dyDescent="0.3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spans="2:52" ht="18.75" x14ac:dyDescent="0.3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spans="2:52" ht="18.75" x14ac:dyDescent="0.3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spans="2:52" ht="18.75" x14ac:dyDescent="0.3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spans="2:52" ht="18.75" x14ac:dyDescent="0.3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spans="2:52" ht="18.75" x14ac:dyDescent="0.3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spans="2:52" ht="18.75" x14ac:dyDescent="0.3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spans="2:52" ht="18.75" x14ac:dyDescent="0.3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spans="2:52" ht="18.75" x14ac:dyDescent="0.3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spans="2:52" ht="18.75" x14ac:dyDescent="0.3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spans="2:52" ht="18.75" x14ac:dyDescent="0.3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spans="2:52" ht="18.75" x14ac:dyDescent="0.3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spans="2:52" ht="18.75" x14ac:dyDescent="0.3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spans="2:52" ht="18.75" x14ac:dyDescent="0.3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spans="2:52" ht="18.75" x14ac:dyDescent="0.3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spans="2:52" ht="18.75" x14ac:dyDescent="0.3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spans="2:52" ht="18.75" x14ac:dyDescent="0.3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spans="2:52" ht="18.75" x14ac:dyDescent="0.3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spans="2:52" ht="18.75" x14ac:dyDescent="0.3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spans="2:52" ht="18.75" x14ac:dyDescent="0.3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spans="2:52" ht="18.75" x14ac:dyDescent="0.3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spans="2:52" ht="18.75" x14ac:dyDescent="0.3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spans="2:52" ht="18.75" x14ac:dyDescent="0.3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spans="2:52" ht="18.75" x14ac:dyDescent="0.3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spans="2:52" ht="18.75" x14ac:dyDescent="0.3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spans="2:52" ht="18.75" x14ac:dyDescent="0.3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spans="2:52" ht="18.75" x14ac:dyDescent="0.3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spans="2:52" ht="18.75" x14ac:dyDescent="0.3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spans="2:52" ht="18.75" x14ac:dyDescent="0.3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spans="2:52" ht="18.75" x14ac:dyDescent="0.3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spans="2:52" ht="18.75" x14ac:dyDescent="0.3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spans="2:52" ht="18.75" x14ac:dyDescent="0.3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spans="2:52" ht="18.75" x14ac:dyDescent="0.3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spans="2:52" ht="18.75" x14ac:dyDescent="0.3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spans="2:52" ht="18.75" x14ac:dyDescent="0.3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spans="2:52" ht="18.75" x14ac:dyDescent="0.3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spans="2:52" ht="18.75" x14ac:dyDescent="0.3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37"/>
  <sheetViews>
    <sheetView workbookViewId="0">
      <selection activeCell="G22" sqref="G22"/>
    </sheetView>
  </sheetViews>
  <sheetFormatPr defaultRowHeight="15" x14ac:dyDescent="0.25"/>
  <cols>
    <col min="3" max="3" width="14.42578125" customWidth="1"/>
    <col min="4" max="4" width="15.28515625" bestFit="1" customWidth="1"/>
    <col min="7" max="7" width="9.140625" customWidth="1"/>
  </cols>
  <sheetData>
    <row r="1" spans="1:25" ht="18.75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8.75" x14ac:dyDescent="0.3">
      <c r="A2" s="4"/>
      <c r="B2" s="3" t="s">
        <v>6</v>
      </c>
      <c r="C2" s="3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4"/>
      <c r="W2" s="4"/>
      <c r="X2" s="4"/>
      <c r="Y2" s="4"/>
    </row>
    <row r="3" spans="1:25" ht="18.75" x14ac:dyDescent="0.3">
      <c r="A3" s="4"/>
      <c r="B3" s="15" t="s">
        <v>7</v>
      </c>
      <c r="C3" s="6" t="s">
        <v>11</v>
      </c>
      <c r="D3" s="7" t="s">
        <v>12</v>
      </c>
      <c r="E3" s="7" t="s">
        <v>13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8.75" x14ac:dyDescent="0.3">
      <c r="A4" s="4"/>
      <c r="B4" s="4"/>
      <c r="C4" s="8" t="s">
        <v>8</v>
      </c>
      <c r="D4" s="8" t="s">
        <v>14</v>
      </c>
      <c r="E4" s="8">
        <v>4000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8.75" x14ac:dyDescent="0.3">
      <c r="A5" s="4"/>
      <c r="B5" s="4"/>
      <c r="C5" s="8" t="s">
        <v>9</v>
      </c>
      <c r="D5" s="8" t="s">
        <v>15</v>
      </c>
      <c r="E5" s="8">
        <v>5000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8.75" x14ac:dyDescent="0.3">
      <c r="A6" s="4"/>
      <c r="B6" s="4"/>
      <c r="C6" s="8" t="s">
        <v>10</v>
      </c>
      <c r="D6" s="8" t="s">
        <v>14</v>
      </c>
      <c r="E6" s="8">
        <v>2500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8.75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8.75" x14ac:dyDescent="0.3">
      <c r="A8" s="4"/>
      <c r="B8" s="4"/>
      <c r="C8" s="18" t="s">
        <v>11</v>
      </c>
      <c r="D8" s="18" t="s">
        <v>12</v>
      </c>
      <c r="E8" s="18" t="s">
        <v>13</v>
      </c>
      <c r="F8" s="15"/>
      <c r="G8" s="15" t="s">
        <v>30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4"/>
      <c r="S8" s="4"/>
      <c r="T8" s="4"/>
      <c r="U8" s="4"/>
      <c r="V8" s="4"/>
      <c r="W8" s="4"/>
      <c r="X8" s="4"/>
      <c r="Y8" s="4"/>
    </row>
    <row r="9" spans="1:25" ht="18.75" x14ac:dyDescent="0.3">
      <c r="A9" s="4"/>
      <c r="B9" s="4"/>
      <c r="C9" s="19" t="s">
        <v>9</v>
      </c>
      <c r="D9" s="19" t="s">
        <v>15</v>
      </c>
      <c r="E9" s="19">
        <v>5000</v>
      </c>
      <c r="F9" s="15"/>
      <c r="G9" s="15" t="s">
        <v>31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4"/>
      <c r="S9" s="4"/>
      <c r="T9" s="4"/>
      <c r="U9" s="4"/>
      <c r="V9" s="4"/>
      <c r="W9" s="4"/>
      <c r="X9" s="4"/>
      <c r="Y9" s="4"/>
    </row>
    <row r="10" spans="1:25" ht="18.75" x14ac:dyDescent="0.3">
      <c r="A10" s="4"/>
      <c r="B10" s="4"/>
      <c r="C10" s="19" t="s">
        <v>8</v>
      </c>
      <c r="D10" s="19" t="s">
        <v>14</v>
      </c>
      <c r="E10" s="19">
        <v>4000</v>
      </c>
      <c r="F10" s="15"/>
      <c r="G10" s="15" t="s">
        <v>33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4"/>
      <c r="S10" s="4"/>
      <c r="T10" s="4"/>
      <c r="U10" s="4"/>
      <c r="V10" s="4"/>
      <c r="W10" s="4"/>
      <c r="X10" s="4"/>
      <c r="Y10" s="4"/>
    </row>
    <row r="11" spans="1:25" ht="18.75" x14ac:dyDescent="0.3">
      <c r="A11" s="4"/>
      <c r="B11" s="4"/>
      <c r="C11" s="19" t="s">
        <v>10</v>
      </c>
      <c r="D11" s="19" t="s">
        <v>14</v>
      </c>
      <c r="E11" s="19">
        <v>2500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4"/>
      <c r="S11" s="4"/>
      <c r="T11" s="4"/>
      <c r="U11" s="4"/>
      <c r="V11" s="4"/>
      <c r="W11" s="4"/>
      <c r="X11" s="4"/>
      <c r="Y11" s="4"/>
    </row>
    <row r="12" spans="1:25" ht="18.75" x14ac:dyDescent="0.3">
      <c r="A12" s="4"/>
      <c r="B12" s="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4"/>
      <c r="S12" s="4"/>
      <c r="T12" s="4"/>
      <c r="U12" s="4"/>
      <c r="V12" s="4"/>
      <c r="W12" s="4"/>
      <c r="X12" s="4"/>
      <c r="Y12" s="4"/>
    </row>
    <row r="13" spans="1:25" ht="18.75" x14ac:dyDescent="0.3">
      <c r="A13" s="4"/>
      <c r="B13" s="4"/>
      <c r="C13" s="18" t="s">
        <v>11</v>
      </c>
      <c r="D13" s="18" t="s">
        <v>12</v>
      </c>
      <c r="E13" s="18" t="s">
        <v>13</v>
      </c>
      <c r="F13" s="15"/>
      <c r="G13" s="15" t="s">
        <v>32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4"/>
      <c r="S13" s="4"/>
      <c r="T13" s="4"/>
      <c r="U13" s="4"/>
      <c r="V13" s="4"/>
      <c r="W13" s="4"/>
      <c r="X13" s="4"/>
      <c r="Y13" s="4"/>
    </row>
    <row r="14" spans="1:25" ht="18.75" x14ac:dyDescent="0.3">
      <c r="A14" s="4"/>
      <c r="B14" s="4"/>
      <c r="C14" s="19" t="s">
        <v>9</v>
      </c>
      <c r="D14" s="19" t="s">
        <v>15</v>
      </c>
      <c r="E14" s="19">
        <v>5000</v>
      </c>
      <c r="F14" s="15"/>
      <c r="G14" s="15" t="s">
        <v>34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4"/>
      <c r="S14" s="4"/>
      <c r="T14" s="4"/>
      <c r="U14" s="4"/>
      <c r="V14" s="4"/>
      <c r="W14" s="4"/>
      <c r="X14" s="4"/>
      <c r="Y14" s="4"/>
    </row>
    <row r="15" spans="1:25" ht="18.75" x14ac:dyDescent="0.3">
      <c r="A15" s="4"/>
      <c r="B15" s="4"/>
      <c r="C15" s="19" t="s">
        <v>8</v>
      </c>
      <c r="D15" s="19" t="s">
        <v>14</v>
      </c>
      <c r="E15" s="19">
        <v>4000</v>
      </c>
      <c r="F15" s="15"/>
      <c r="G15" s="15" t="s">
        <v>35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4"/>
      <c r="S15" s="4"/>
      <c r="T15" s="4"/>
      <c r="U15" s="4"/>
      <c r="V15" s="4"/>
      <c r="W15" s="4"/>
      <c r="X15" s="4"/>
      <c r="Y15" s="4"/>
    </row>
    <row r="16" spans="1:25" ht="18.75" x14ac:dyDescent="0.3">
      <c r="A16" s="4"/>
      <c r="B16" s="4"/>
      <c r="C16" s="19" t="s">
        <v>10</v>
      </c>
      <c r="D16" s="19" t="s">
        <v>14</v>
      </c>
      <c r="E16" s="19">
        <v>2500</v>
      </c>
      <c r="F16" s="15"/>
      <c r="G16" s="15" t="s">
        <v>36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4"/>
      <c r="S16" s="4"/>
      <c r="T16" s="4"/>
      <c r="U16" s="4"/>
      <c r="V16" s="4"/>
      <c r="W16" s="4"/>
      <c r="X16" s="4"/>
      <c r="Y16" s="4"/>
    </row>
    <row r="17" spans="1:25" ht="18.75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8.75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8.75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8.75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8.75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8.75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8.75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8.75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8.75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8.75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8.75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8.75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8.75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8.75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8.75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8.75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8.75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8.75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8.75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8.75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8.75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8.75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8.75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8.75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8.75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8.75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8.75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8.75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8.75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8.75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8.75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8.75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8.75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8.75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8.75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8.75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8.75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8.75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8.75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8.75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8.75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8.75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8.75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8.75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8.75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8.75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8.75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8.75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8.75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8.75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8.75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8.75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8.75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8.75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8.75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8.75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8.75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8.75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8.75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8.75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8.75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8.75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8.75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8.75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8.75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8.75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8.75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8.75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8.75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8.75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8.75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8.75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8.75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8.75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8.75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8.75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8.75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8.75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8.75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8.75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8.75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8.75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8.75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8.75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8.75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8.75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8.75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8.75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8.75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8.75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8.75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8.75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8.75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8.75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8.75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8.75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8.75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8.75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8.75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8.75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8.75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8.75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8.75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8.75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8.75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8.75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8.75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8.75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8.75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8.75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8.75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8.75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8.75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8.75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8.75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8.75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8.75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8.75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8.75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8.75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8.75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8.75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8.75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8.75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8.75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8.75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8.75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8.75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8.75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8.75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8.75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8.75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8.75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8.75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8.75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8.75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8.75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8.75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8.75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8.75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8.75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8.75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8.75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8.75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8.75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8.75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8.75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8.75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8.75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8.75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8.75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8.75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8.75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8.75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8.75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8.75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8.75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8.75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8.75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8.75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8.75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8.75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8.75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8.75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8.75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8.75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8.75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8.75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8.75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8.75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8.75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8.75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8.75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8.75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8.75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8.75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8.75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8.75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8.75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8.75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8.75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8.75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8.75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8.75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8.75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8.75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8.75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8.75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8.75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8.75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8.75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8.75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8.75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8.75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8.75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8.75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8.75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8.75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8.75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8.75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8.75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8.75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8.75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8.75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8.75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8.75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8.75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8.75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8.75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8.75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8.75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8.75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8.75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8.75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8.75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8.75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8.75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8.75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8.75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8.75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8.75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8.75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8.75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8.75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8.75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8.75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8.75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8.75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8.75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8.75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8.75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8.75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8.75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8.75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8.75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8.75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8.75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8.75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8.75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8.75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8.75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8.75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8.75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8.75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8.75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8.75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8.75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8.75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8.75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8.75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8.75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8.75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8.75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8.75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8.75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8.75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8.75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8.75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8.75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8.75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8.75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8.75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8.75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8.75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8.75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8.75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8.75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8.75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8.75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8.75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8.75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8.75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8.75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8.75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8.75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8.75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8.75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8.75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8.75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8.75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8.75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8.75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8.75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8.75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8.75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8.75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8.75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8.75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8.75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8.75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8.75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8.75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8.75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8.75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8.75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8.75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8.75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8.75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8.75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8.75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8.75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8.75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8.75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8.75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8.75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8.75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8.75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8.75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8.75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8.75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8.75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8.75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8.75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8.75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8.75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8.75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8.75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8.75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8.75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8.75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8.75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8.75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8.75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8.75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8.75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8.75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8.75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8.75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8.75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8.75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8.75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8.75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8.75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8.75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8.75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8.75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8.75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8.75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8.75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8.75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8.75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8.75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8.75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8.75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8.75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8.75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8.75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8.75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8.75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8.75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8.75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8.75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8.75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8.75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8.75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8.75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8.75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8.75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8.75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8.75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8.75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8.75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8.75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8.75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8.75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8.75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8.75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8.75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8.75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8.75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8.75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8.75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8.75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8.75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8.75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8.75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8.75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8.75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8.75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8.75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8.75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8.75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8.75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8.75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8.75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8.75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8.75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8.75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8.75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8.75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8.75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8.75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8.75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8.75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8.75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8.75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8.75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8.75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8.75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8.75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8.75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8.75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8.75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8.75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8.75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8.75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8.75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8.75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8.75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8.75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8.75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8.75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8.75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8.75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8.75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8.75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8.75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8.75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8.75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8.75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8.75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8.75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8.75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8.75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8.75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8.75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8.75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8.75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8.75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8.75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8.75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8.75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8.75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8.75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8.75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8.75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8.75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8.75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8.75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8.75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8.75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8.75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8.75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8.75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8.75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8.75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8.75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8.75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8.75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8.75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8.75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8.75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8.75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8.75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8.75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8.75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8.75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8.75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8.75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8.75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8.75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8.75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8.75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8.75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8.75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8.75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8.75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8.75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8.75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8.75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8.75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8.75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8.75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8.75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8.75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8.75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8.75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8.75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8.75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8.75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8.75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8.75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8.75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8.75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8.75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8.75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8.75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8.75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8.75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8.75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8.75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8.75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8.75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8.75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8.75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8.75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8.75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8.75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8.75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8.75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8.75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8.75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8.75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8.75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8.75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8.75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8.75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8.75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8.75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8.75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8.75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8.75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8.75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8.75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8.75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8.75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8.75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8.75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8.75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8.75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8.75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8.75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8.75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8.75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8.75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8.75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8.75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8.75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8.75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8.75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8.75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8.75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8.75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8.75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8.75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8.75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8.75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8.75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8.75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8.75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8.75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8.75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8.75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8.75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8.75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8.75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8.75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8.75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8.75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8.75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8.75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8.75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8.75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8.75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8.75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8.75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8.75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8.75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8.75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8.75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8.75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8.75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8.75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8.75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8.75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8.75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8.75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8.75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8.75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8.75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8.75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8.75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8.75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8.75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8.75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8.75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8.75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8.75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8.75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8.75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8.75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8.75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8.75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8.75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8.75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8.75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8.75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8.75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8.75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8.75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8.75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8.75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8.75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8.75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8.75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8.75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8.75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8.75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8.75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8.75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8.75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8.75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8.75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8.75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8.75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8.75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8.75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8.75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8.75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8.75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8.75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8.75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8.75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8.75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8.75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8.75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8.75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8.75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8.75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8.75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8.75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</sheetData>
  <sortState ref="C14:E16">
    <sortCondition descending="1" ref="E14:E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workbookViewId="0">
      <selection activeCell="C22" sqref="C22:H24"/>
    </sheetView>
  </sheetViews>
  <sheetFormatPr defaultRowHeight="15" x14ac:dyDescent="0.25"/>
  <cols>
    <col min="3" max="3" width="20.28515625" customWidth="1"/>
  </cols>
  <sheetData>
    <row r="1" spans="1:16" ht="18.75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ht="18.75" x14ac:dyDescent="0.3">
      <c r="A2" s="4"/>
      <c r="B2" s="3" t="s">
        <v>38</v>
      </c>
      <c r="C2" s="3" t="s">
        <v>37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"/>
    </row>
    <row r="3" spans="1:16" ht="18.75" x14ac:dyDescent="0.3">
      <c r="A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ht="18.75" x14ac:dyDescent="0.3">
      <c r="A4" s="4"/>
      <c r="B4" s="16" t="s">
        <v>39</v>
      </c>
      <c r="C4" s="16" t="s">
        <v>40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7"/>
    </row>
    <row r="5" spans="1:16" ht="18.75" x14ac:dyDescent="0.3">
      <c r="A5" s="4"/>
      <c r="B5" s="5"/>
      <c r="C5" s="21" t="s">
        <v>41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7"/>
    </row>
    <row r="6" spans="1:16" ht="18.75" x14ac:dyDescent="0.3">
      <c r="A6" s="4"/>
      <c r="B6" s="5"/>
      <c r="C6" s="21" t="str">
        <f>TRIM(C5)</f>
        <v>Minaxi Verma</v>
      </c>
      <c r="D6" s="16"/>
      <c r="E6" s="16" t="s">
        <v>44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7"/>
    </row>
    <row r="7" spans="1:16" ht="18.75" x14ac:dyDescent="0.3">
      <c r="A7" s="4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</row>
    <row r="8" spans="1:16" ht="18.75" x14ac:dyDescent="0.3">
      <c r="A8" s="4"/>
      <c r="B8" s="4"/>
      <c r="C8" s="16" t="s">
        <v>45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7"/>
    </row>
    <row r="9" spans="1:16" ht="18.75" x14ac:dyDescent="0.3">
      <c r="A9" s="4"/>
      <c r="B9" s="4"/>
      <c r="C9" s="21" t="s">
        <v>42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7"/>
    </row>
    <row r="10" spans="1:16" ht="18.75" x14ac:dyDescent="0.3">
      <c r="A10" s="4"/>
      <c r="B10" s="4"/>
      <c r="C10" s="21" t="str">
        <f>LEFT(C9, 3)</f>
        <v>Edu</v>
      </c>
      <c r="D10" s="16"/>
      <c r="E10" s="16" t="s">
        <v>46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</row>
    <row r="11" spans="1:16" ht="18.75" x14ac:dyDescent="0.3">
      <c r="A11" s="4"/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2"/>
    </row>
    <row r="12" spans="1:16" ht="18.75" x14ac:dyDescent="0.3">
      <c r="A12" s="4"/>
      <c r="B12" s="4"/>
      <c r="C12" s="16" t="s">
        <v>43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7"/>
    </row>
    <row r="13" spans="1:16" ht="18.75" x14ac:dyDescent="0.3">
      <c r="A13" s="4"/>
      <c r="B13" s="4"/>
      <c r="C13" s="21" t="s">
        <v>42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7"/>
    </row>
    <row r="14" spans="1:16" ht="18.75" x14ac:dyDescent="0.3">
      <c r="A14" s="4"/>
      <c r="B14" s="4"/>
      <c r="C14" s="21" t="str">
        <f>RIGHT(C13, 3)</f>
        <v>ion</v>
      </c>
      <c r="D14" s="16"/>
      <c r="E14" s="16" t="s">
        <v>48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7"/>
    </row>
    <row r="15" spans="1:16" ht="18.75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2"/>
    </row>
    <row r="16" spans="1:16" ht="18.75" x14ac:dyDescent="0.3">
      <c r="A16" s="4"/>
      <c r="B16" s="4"/>
      <c r="C16" s="16" t="s">
        <v>47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7"/>
    </row>
    <row r="17" spans="1:17" ht="18.75" x14ac:dyDescent="0.3">
      <c r="A17" s="4"/>
      <c r="B17" s="4"/>
      <c r="C17" s="21" t="s">
        <v>49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7"/>
    </row>
    <row r="18" spans="1:17" ht="18.75" x14ac:dyDescent="0.3">
      <c r="A18" s="4"/>
      <c r="B18" s="4"/>
      <c r="C18" s="21" t="str">
        <f>MID(C17,4,3)</f>
        <v>Edu</v>
      </c>
      <c r="D18" s="16"/>
      <c r="E18" s="16" t="s">
        <v>50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7"/>
    </row>
    <row r="19" spans="1:17" ht="18.75" x14ac:dyDescent="0.3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2"/>
      <c r="Q19" s="2"/>
    </row>
    <row r="20" spans="1:17" ht="18.75" x14ac:dyDescent="0.3">
      <c r="A20" s="4"/>
      <c r="B20" s="4"/>
      <c r="C20" s="16" t="s">
        <v>51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7"/>
    </row>
    <row r="21" spans="1:17" ht="18.75" x14ac:dyDescent="0.3">
      <c r="A21" s="4"/>
      <c r="B21" s="4"/>
      <c r="C21" s="16" t="s">
        <v>52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spans="1:17" ht="18.75" x14ac:dyDescent="0.3">
      <c r="A22" s="4"/>
      <c r="B22" s="4"/>
      <c r="C22" s="21" t="s">
        <v>53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7"/>
    </row>
    <row r="23" spans="1:17" ht="18.75" x14ac:dyDescent="0.3">
      <c r="A23" s="4"/>
      <c r="B23" s="4"/>
      <c r="C23" s="21" t="s">
        <v>54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7"/>
    </row>
    <row r="24" spans="1:17" ht="18.75" x14ac:dyDescent="0.3">
      <c r="A24" s="4"/>
      <c r="B24" s="4"/>
      <c r="C24" s="21" t="str">
        <f>CONCATENATE(C22, " ", C23)</f>
        <v>Minaxi Verma</v>
      </c>
      <c r="D24" s="16"/>
      <c r="E24" s="16" t="s">
        <v>55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7"/>
    </row>
    <row r="25" spans="1:17" ht="18.75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7" ht="18.75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7" ht="18.75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7" ht="18.75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7" ht="18.75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7" ht="18.75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7" ht="18.75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7" ht="18.75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18.75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18.75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18.75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18.75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18.75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18.75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8.75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18.75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18.75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ht="18.75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18.75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18.75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18.75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18.75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8.75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18.75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18.75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18.75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18.75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18.75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18.75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18.75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18.75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18.75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18.75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18.75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18.75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18.75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18.75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18.75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ht="18.75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18.75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ht="18.75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ht="18.75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ht="18.75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ht="18.75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ht="18.75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ht="18.75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ht="18.75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ht="18.75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ht="18.75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ht="18.75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ht="18.75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ht="18.75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ht="18.75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ht="18.75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ht="18.75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ht="18.75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ht="18.75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ht="18.75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ht="18.75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ht="18.75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ht="18.75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ht="18.75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ht="18.75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ht="18.75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ht="18.75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2"/>
  <sheetViews>
    <sheetView workbookViewId="0">
      <selection activeCell="B2" sqref="B2:B3"/>
    </sheetView>
  </sheetViews>
  <sheetFormatPr defaultRowHeight="15" x14ac:dyDescent="0.25"/>
  <sheetData>
    <row r="1" spans="1:26" ht="18.75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x14ac:dyDescent="0.3">
      <c r="A2" s="4"/>
      <c r="B2" s="3" t="s">
        <v>57</v>
      </c>
      <c r="C2" s="3" t="s">
        <v>56</v>
      </c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x14ac:dyDescent="0.3">
      <c r="A3" s="4"/>
      <c r="B3" s="12" t="s">
        <v>58</v>
      </c>
      <c r="C3" s="12" t="s">
        <v>59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.75" x14ac:dyDescent="0.3">
      <c r="A4" s="4"/>
      <c r="B4" s="4"/>
      <c r="C4" s="12" t="s">
        <v>60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x14ac:dyDescent="0.3">
      <c r="A5" s="4"/>
      <c r="B5" s="4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x14ac:dyDescent="0.3">
      <c r="A6" s="4"/>
      <c r="B6" s="4"/>
      <c r="C6" s="12" t="s">
        <v>61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x14ac:dyDescent="0.3">
      <c r="A7" s="4"/>
      <c r="B7" s="4"/>
      <c r="C7" s="12" t="s">
        <v>62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x14ac:dyDescent="0.3">
      <c r="A8" s="4"/>
      <c r="B8" s="4"/>
      <c r="C8" s="12" t="s">
        <v>63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x14ac:dyDescent="0.3">
      <c r="A9" s="4"/>
      <c r="B9" s="4"/>
      <c r="C9" s="12" t="s">
        <v>64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x14ac:dyDescent="0.3">
      <c r="A10" s="4"/>
      <c r="B10" s="4"/>
      <c r="C10" s="12" t="s">
        <v>65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x14ac:dyDescent="0.3">
      <c r="A11" s="4"/>
      <c r="B11" s="4"/>
      <c r="C11" s="12" t="s">
        <v>66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4"/>
  <sheetViews>
    <sheetView topLeftCell="A16" workbookViewId="0">
      <selection activeCell="B8" sqref="B8"/>
    </sheetView>
  </sheetViews>
  <sheetFormatPr defaultRowHeight="15" x14ac:dyDescent="0.25"/>
  <cols>
    <col min="3" max="3" width="25.7109375" customWidth="1"/>
    <col min="4" max="4" width="17.7109375" bestFit="1" customWidth="1"/>
    <col min="5" max="5" width="15.140625" bestFit="1" customWidth="1"/>
    <col min="6" max="6" width="11.28515625" bestFit="1" customWidth="1"/>
    <col min="7" max="7" width="16" bestFit="1" customWidth="1"/>
  </cols>
  <sheetData>
    <row r="1" spans="1:28" ht="18.75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8.75" x14ac:dyDescent="0.3">
      <c r="A2" s="4"/>
      <c r="B2" s="3" t="s">
        <v>72</v>
      </c>
      <c r="C2" s="3" t="s">
        <v>67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8.75" x14ac:dyDescent="0.3">
      <c r="A3" s="4"/>
      <c r="B3" s="11" t="s">
        <v>26</v>
      </c>
      <c r="C3" s="3" t="s">
        <v>68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8.75" x14ac:dyDescent="0.3">
      <c r="A4" s="4"/>
      <c r="B4" s="3"/>
      <c r="C4" s="3" t="s">
        <v>69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8.75" x14ac:dyDescent="0.3">
      <c r="A5" s="4"/>
      <c r="B5" s="11" t="s">
        <v>27</v>
      </c>
      <c r="C5" s="3" t="s">
        <v>70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8.75" x14ac:dyDescent="0.3">
      <c r="A6" s="4"/>
      <c r="B6" s="3"/>
      <c r="C6" s="3" t="s">
        <v>71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8.75" x14ac:dyDescent="0.3">
      <c r="A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8.75" x14ac:dyDescent="0.3">
      <c r="A8" s="4"/>
      <c r="B8" s="12" t="s">
        <v>73</v>
      </c>
      <c r="C8" s="22" t="s">
        <v>74</v>
      </c>
      <c r="D8" s="22" t="s">
        <v>75</v>
      </c>
      <c r="E8" s="22" t="s">
        <v>76</v>
      </c>
      <c r="F8" s="22" t="s">
        <v>77</v>
      </c>
      <c r="G8" s="23" t="s">
        <v>78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8.75" x14ac:dyDescent="0.3">
      <c r="A9" s="4"/>
      <c r="B9" s="4"/>
      <c r="C9" s="25" t="s">
        <v>79</v>
      </c>
      <c r="D9" s="25" t="s">
        <v>80</v>
      </c>
      <c r="E9" s="25" t="s">
        <v>81</v>
      </c>
      <c r="F9" s="25"/>
      <c r="G9" s="25">
        <v>81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8.75" x14ac:dyDescent="0.3">
      <c r="A10" s="4"/>
      <c r="B10" s="4"/>
      <c r="C10" s="25" t="s">
        <v>82</v>
      </c>
      <c r="D10" s="25" t="s">
        <v>83</v>
      </c>
      <c r="E10" s="25" t="s">
        <v>81</v>
      </c>
      <c r="F10" s="25"/>
      <c r="G10" s="25">
        <v>121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8.75" x14ac:dyDescent="0.3">
      <c r="A11" s="4"/>
      <c r="B11" s="4"/>
      <c r="C11" s="25" t="s">
        <v>84</v>
      </c>
      <c r="D11" s="25" t="s">
        <v>85</v>
      </c>
      <c r="E11" s="25" t="s">
        <v>86</v>
      </c>
      <c r="F11" s="25"/>
      <c r="G11" s="25">
        <v>239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8.75" x14ac:dyDescent="0.3">
      <c r="A12" s="4"/>
      <c r="B12" s="4"/>
      <c r="C12" s="25" t="s">
        <v>87</v>
      </c>
      <c r="D12" s="25" t="s">
        <v>80</v>
      </c>
      <c r="E12" s="25" t="s">
        <v>81</v>
      </c>
      <c r="F12" s="25"/>
      <c r="G12" s="25">
        <v>500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8.75" x14ac:dyDescent="0.3">
      <c r="A13" s="4"/>
      <c r="B13" s="4"/>
      <c r="C13" s="25" t="s">
        <v>88</v>
      </c>
      <c r="D13" s="25" t="s">
        <v>89</v>
      </c>
      <c r="E13" s="25" t="s">
        <v>115</v>
      </c>
      <c r="F13" s="25"/>
      <c r="G13" s="25">
        <v>423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8.75" x14ac:dyDescent="0.3">
      <c r="A14" s="4"/>
      <c r="B14" s="4"/>
      <c r="C14" s="25" t="s">
        <v>90</v>
      </c>
      <c r="D14" s="25" t="s">
        <v>91</v>
      </c>
      <c r="E14" s="25" t="s">
        <v>81</v>
      </c>
      <c r="F14" s="25"/>
      <c r="G14" s="25">
        <v>160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8.75" x14ac:dyDescent="0.3">
      <c r="A15" s="4"/>
      <c r="B15" s="4"/>
      <c r="C15" s="25" t="s">
        <v>92</v>
      </c>
      <c r="D15" s="25" t="s">
        <v>93</v>
      </c>
      <c r="E15" s="25" t="s">
        <v>81</v>
      </c>
      <c r="F15" s="25"/>
      <c r="G15" s="25">
        <v>348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8.75" x14ac:dyDescent="0.3">
      <c r="A16" s="4"/>
      <c r="B16" s="4"/>
      <c r="C16" s="25" t="s">
        <v>94</v>
      </c>
      <c r="D16" s="25" t="s">
        <v>93</v>
      </c>
      <c r="E16" s="25" t="s">
        <v>81</v>
      </c>
      <c r="F16" s="25"/>
      <c r="G16" s="25">
        <v>152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8.75" x14ac:dyDescent="0.3">
      <c r="A17" s="4"/>
      <c r="B17" s="4"/>
      <c r="C17" s="25" t="s">
        <v>95</v>
      </c>
      <c r="D17" s="25" t="s">
        <v>96</v>
      </c>
      <c r="E17" s="25" t="s">
        <v>115</v>
      </c>
      <c r="F17" s="25"/>
      <c r="G17" s="25">
        <v>369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8.75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8.75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8.75" x14ac:dyDescent="0.3">
      <c r="A20" s="4"/>
      <c r="B20" s="4"/>
      <c r="C20" s="12" t="s">
        <v>97</v>
      </c>
      <c r="D20" s="12"/>
      <c r="E20" s="12"/>
      <c r="F20" s="12"/>
      <c r="G20" s="12"/>
      <c r="H20" s="12"/>
      <c r="I20" s="12"/>
      <c r="J20" s="1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8.75" x14ac:dyDescent="0.3">
      <c r="A21" s="4"/>
      <c r="B21" s="4"/>
      <c r="C21" s="12" t="s">
        <v>106</v>
      </c>
      <c r="D21" s="12"/>
      <c r="E21" s="12"/>
      <c r="F21" s="12"/>
      <c r="G21" s="12"/>
      <c r="H21" s="12"/>
      <c r="I21" s="12"/>
      <c r="J21" s="1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8.75" x14ac:dyDescent="0.3">
      <c r="A22" s="4"/>
      <c r="B22" s="4"/>
      <c r="C22" s="12" t="s">
        <v>107</v>
      </c>
      <c r="D22" s="12"/>
      <c r="E22" s="12"/>
      <c r="F22" s="12"/>
      <c r="G22" s="12"/>
      <c r="H22" s="12"/>
      <c r="I22" s="12"/>
      <c r="J22" s="1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8.75" x14ac:dyDescent="0.3">
      <c r="A23" s="4"/>
      <c r="B23" s="4"/>
      <c r="C23" s="12" t="s">
        <v>108</v>
      </c>
      <c r="D23" s="12"/>
      <c r="E23" s="12"/>
      <c r="F23" s="12"/>
      <c r="G23" s="12"/>
      <c r="H23" s="12"/>
      <c r="I23" s="12"/>
      <c r="J23" s="1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8.75" x14ac:dyDescent="0.3">
      <c r="A24" s="4"/>
      <c r="B24" s="4"/>
      <c r="C24" s="12" t="s">
        <v>109</v>
      </c>
      <c r="D24" s="12"/>
      <c r="E24" s="12"/>
      <c r="F24" s="12"/>
      <c r="G24" s="12"/>
      <c r="H24" s="12"/>
      <c r="I24" s="12"/>
      <c r="J24" s="1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8.75" x14ac:dyDescent="0.3">
      <c r="A25" s="4"/>
      <c r="B25" s="4"/>
      <c r="C25" s="12"/>
      <c r="D25" s="12" t="s">
        <v>98</v>
      </c>
      <c r="E25" s="12"/>
      <c r="F25" s="12"/>
      <c r="G25" s="12"/>
      <c r="H25" s="12"/>
      <c r="I25" s="12"/>
      <c r="J25" s="1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8.75" x14ac:dyDescent="0.3">
      <c r="A26" s="4"/>
      <c r="B26" s="4"/>
      <c r="C26" s="12"/>
      <c r="D26" s="12" t="s">
        <v>99</v>
      </c>
      <c r="E26" s="12"/>
      <c r="F26" s="12"/>
      <c r="G26" s="12"/>
      <c r="H26" s="12"/>
      <c r="I26" s="12"/>
      <c r="J26" s="1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8.75" x14ac:dyDescent="0.3">
      <c r="A27" s="4"/>
      <c r="B27" s="4"/>
      <c r="C27" s="12"/>
      <c r="D27" s="12" t="s">
        <v>100</v>
      </c>
      <c r="E27" s="12"/>
      <c r="F27" s="12"/>
      <c r="G27" s="12"/>
      <c r="H27" s="12"/>
      <c r="I27" s="12"/>
      <c r="J27" s="12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8.75" x14ac:dyDescent="0.3">
      <c r="A28" s="4"/>
      <c r="B28" s="4"/>
      <c r="C28" s="12" t="s">
        <v>110</v>
      </c>
      <c r="D28" s="12"/>
      <c r="E28" s="12"/>
      <c r="F28" s="12"/>
      <c r="G28" s="12"/>
      <c r="H28" s="12"/>
      <c r="I28" s="12"/>
      <c r="J28" s="1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8.75" x14ac:dyDescent="0.3">
      <c r="A29" s="4"/>
      <c r="B29" s="4"/>
      <c r="C29" s="12"/>
      <c r="D29" s="12" t="s">
        <v>101</v>
      </c>
      <c r="E29" s="12"/>
      <c r="F29" s="12"/>
      <c r="G29" s="12"/>
      <c r="H29" s="12"/>
      <c r="I29" s="12"/>
      <c r="J29" s="1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8.75" x14ac:dyDescent="0.3">
      <c r="A30" s="4"/>
      <c r="B30" s="4"/>
      <c r="C30" s="12"/>
      <c r="D30" s="12" t="s">
        <v>102</v>
      </c>
      <c r="E30" s="12"/>
      <c r="F30" s="12"/>
      <c r="G30" s="12"/>
      <c r="H30" s="12"/>
      <c r="I30" s="12"/>
      <c r="J30" s="1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8.75" x14ac:dyDescent="0.3">
      <c r="A31" s="4"/>
      <c r="B31" s="4"/>
      <c r="C31" s="12" t="s">
        <v>111</v>
      </c>
      <c r="D31" s="12"/>
      <c r="E31" s="12"/>
      <c r="F31" s="12"/>
      <c r="G31" s="12"/>
      <c r="H31" s="12"/>
      <c r="I31" s="12"/>
      <c r="J31" s="1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8.75" x14ac:dyDescent="0.3">
      <c r="A32" s="4"/>
      <c r="B32" s="4"/>
      <c r="C32" s="12"/>
      <c r="D32" s="12" t="s">
        <v>103</v>
      </c>
      <c r="E32" s="12"/>
      <c r="F32" s="12"/>
      <c r="G32" s="12"/>
      <c r="H32" s="12"/>
      <c r="I32" s="12"/>
      <c r="J32" s="12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8.75" x14ac:dyDescent="0.3">
      <c r="A33" s="4"/>
      <c r="B33" s="4"/>
      <c r="C33" s="12"/>
      <c r="D33" s="12" t="s">
        <v>104</v>
      </c>
      <c r="E33" s="12"/>
      <c r="F33" s="12"/>
      <c r="G33" s="12"/>
      <c r="H33" s="12"/>
      <c r="I33" s="12"/>
      <c r="J33" s="1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8.75" x14ac:dyDescent="0.3">
      <c r="A34" s="4"/>
      <c r="B34" s="4"/>
      <c r="C34" s="12"/>
      <c r="D34" s="12" t="s">
        <v>105</v>
      </c>
      <c r="E34" s="12"/>
      <c r="F34" s="12"/>
      <c r="G34" s="12"/>
      <c r="H34" s="12"/>
      <c r="I34" s="12"/>
      <c r="J34" s="12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8.75" x14ac:dyDescent="0.3">
      <c r="A35" s="4"/>
      <c r="B35" s="4"/>
      <c r="C35" s="12" t="s">
        <v>112</v>
      </c>
      <c r="D35" s="12"/>
      <c r="E35" s="12"/>
      <c r="F35" s="12"/>
      <c r="G35" s="12"/>
      <c r="H35" s="12"/>
      <c r="I35" s="12"/>
      <c r="J35" s="12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8.75" x14ac:dyDescent="0.3">
      <c r="A36" s="4"/>
      <c r="B36" s="4"/>
      <c r="C36" s="12" t="s">
        <v>113</v>
      </c>
      <c r="D36" s="12"/>
      <c r="E36" s="12"/>
      <c r="F36" s="12"/>
      <c r="G36" s="12"/>
      <c r="H36" s="12"/>
      <c r="I36" s="12"/>
      <c r="J36" s="12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8.75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8.75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8.75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8.75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8.75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8.75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8.75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8.75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</sheetData>
  <dataValidations count="1">
    <dataValidation type="whole" errorStyle="warning" allowBlank="1" showInputMessage="1" showErrorMessage="1" errorTitle="Invalid Input" error="&quot;Invalid input! The quantity must be a whole number between 1 and 10.&quot;" promptTitle="Whole Number Only" prompt="&quot;Please enter a whole number between 1 and 10." sqref="F8:F17">
      <formula1>1</formula1>
      <formula2>10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2"/>
  <sheetViews>
    <sheetView workbookViewId="0">
      <selection activeCell="C7" sqref="C7"/>
    </sheetView>
  </sheetViews>
  <sheetFormatPr defaultRowHeight="15" x14ac:dyDescent="0.25"/>
  <cols>
    <col min="1" max="1" width="7.7109375" customWidth="1"/>
    <col min="2" max="2" width="10.7109375" customWidth="1"/>
    <col min="3" max="3" width="25" customWidth="1"/>
  </cols>
  <sheetData>
    <row r="1" spans="1:27" ht="18.75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8.75" x14ac:dyDescent="0.3">
      <c r="A2" s="4"/>
      <c r="B2" s="3" t="s">
        <v>114</v>
      </c>
      <c r="C2" s="3" t="s">
        <v>116</v>
      </c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8.75" x14ac:dyDescent="0.3">
      <c r="A3" s="4"/>
      <c r="B3" s="11" t="s">
        <v>26</v>
      </c>
      <c r="C3" s="3" t="s">
        <v>117</v>
      </c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8.75" x14ac:dyDescent="0.3">
      <c r="A4" s="4"/>
      <c r="B4" s="11" t="s">
        <v>27</v>
      </c>
      <c r="C4" s="3" t="s">
        <v>118</v>
      </c>
      <c r="D4" s="3"/>
      <c r="E4" s="3"/>
      <c r="F4" s="3"/>
      <c r="G4" s="3"/>
      <c r="H4" s="3"/>
      <c r="I4" s="3"/>
      <c r="J4" s="3"/>
      <c r="K4" s="3"/>
      <c r="L4" s="3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8.75" x14ac:dyDescent="0.3">
      <c r="A5" s="4"/>
      <c r="B5" s="11" t="s">
        <v>121</v>
      </c>
      <c r="C5" s="3" t="s">
        <v>119</v>
      </c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8.75" x14ac:dyDescent="0.3">
      <c r="A6" s="4"/>
      <c r="B6" s="11" t="s">
        <v>122</v>
      </c>
      <c r="C6" s="3" t="s">
        <v>120</v>
      </c>
      <c r="D6" s="3"/>
      <c r="E6" s="3"/>
      <c r="F6" s="3"/>
      <c r="G6" s="3"/>
      <c r="H6" s="3"/>
      <c r="I6" s="3"/>
      <c r="J6" s="3"/>
      <c r="K6" s="3"/>
      <c r="L6" s="3"/>
      <c r="M6" s="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8.75" x14ac:dyDescent="0.3">
      <c r="A7" s="4"/>
      <c r="B7" s="11" t="s">
        <v>131</v>
      </c>
      <c r="C7" s="3" t="s">
        <v>130</v>
      </c>
      <c r="D7" s="3"/>
      <c r="E7" s="3"/>
      <c r="F7" s="3"/>
      <c r="G7" s="3"/>
      <c r="H7" s="3"/>
      <c r="I7" s="3"/>
      <c r="J7" s="3"/>
      <c r="K7" s="3"/>
      <c r="L7" s="3"/>
      <c r="M7" s="3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8.75" x14ac:dyDescent="0.3">
      <c r="A8" s="4"/>
      <c r="B8" s="26" t="s">
        <v>132</v>
      </c>
      <c r="C8" s="27" t="s">
        <v>123</v>
      </c>
      <c r="D8" s="24"/>
      <c r="E8" s="24"/>
      <c r="F8" s="24"/>
      <c r="G8" s="2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8.75" x14ac:dyDescent="0.3">
      <c r="A9" s="4"/>
      <c r="C9" s="27" t="str">
        <f>LEFT(C8,5)</f>
        <v>Excel</v>
      </c>
      <c r="D9" s="24"/>
      <c r="E9" s="24" t="s">
        <v>124</v>
      </c>
      <c r="F9" s="24"/>
      <c r="G9" s="2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8.75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8.75" x14ac:dyDescent="0.3">
      <c r="A11" s="4"/>
      <c r="B11" s="26" t="s">
        <v>27</v>
      </c>
      <c r="C11" s="27" t="s">
        <v>125</v>
      </c>
      <c r="D11" s="24"/>
      <c r="E11" s="24"/>
      <c r="F11" s="24"/>
      <c r="G11" s="2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8.75" x14ac:dyDescent="0.3">
      <c r="A12" s="4"/>
      <c r="B12" s="4"/>
      <c r="C12" s="27" t="str">
        <f>RIGHT(C11,4)</f>
        <v>xlsx</v>
      </c>
      <c r="D12" s="24"/>
      <c r="E12" s="24" t="s">
        <v>126</v>
      </c>
      <c r="F12" s="24"/>
      <c r="G12" s="2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8.75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8.75" x14ac:dyDescent="0.3">
      <c r="A14" s="4"/>
      <c r="B14" s="26" t="s">
        <v>121</v>
      </c>
      <c r="C14" s="27" t="s">
        <v>123</v>
      </c>
      <c r="D14" s="24"/>
      <c r="E14" s="24"/>
      <c r="F14" s="24"/>
      <c r="G14" s="2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8.75" x14ac:dyDescent="0.3">
      <c r="A15" s="4"/>
      <c r="B15" s="4"/>
      <c r="C15" s="27" t="str">
        <f>MID(C14,6,4)</f>
        <v>Tips</v>
      </c>
      <c r="D15" s="24"/>
      <c r="E15" s="24" t="s">
        <v>127</v>
      </c>
      <c r="F15" s="24"/>
      <c r="G15" s="2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8.75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.75" x14ac:dyDescent="0.3">
      <c r="A17" s="4"/>
      <c r="B17" s="26" t="s">
        <v>122</v>
      </c>
      <c r="C17" s="27" t="s">
        <v>128</v>
      </c>
      <c r="D17" s="24"/>
      <c r="E17" s="24"/>
      <c r="F17" s="24"/>
      <c r="G17" s="2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8.75" x14ac:dyDescent="0.3">
      <c r="A18" s="4"/>
      <c r="B18" s="4"/>
      <c r="C18" s="28">
        <f>LEN(C17)</f>
        <v>12</v>
      </c>
      <c r="D18" s="24"/>
      <c r="E18" s="24" t="s">
        <v>129</v>
      </c>
      <c r="F18" s="24"/>
      <c r="G18" s="2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8.75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8.75" x14ac:dyDescent="0.3">
      <c r="A20" s="4"/>
      <c r="B20" s="26" t="s">
        <v>131</v>
      </c>
      <c r="C20" s="27" t="s">
        <v>133</v>
      </c>
      <c r="D20" s="24"/>
      <c r="E20" s="24"/>
      <c r="F20" s="24"/>
      <c r="G20" s="2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8.75" x14ac:dyDescent="0.3">
      <c r="A21" s="4"/>
      <c r="B21" s="4"/>
      <c r="C21" s="27" t="str">
        <f>MID(C20,6,6)</f>
        <v>-67890</v>
      </c>
      <c r="D21" s="24"/>
      <c r="E21" s="24" t="s">
        <v>134</v>
      </c>
      <c r="F21" s="24"/>
      <c r="G21" s="2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8.75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8.75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8.75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8.75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8.75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8.75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8.75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8.75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8.75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8.75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8.75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8.75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8.75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8.75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8.75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8.75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8.75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8.75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8.75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8.75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8.75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8.75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8.75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8.75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8.75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8.75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8.75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8.75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8.75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8.75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8.75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8.75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8.75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8.75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8.75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8.75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8.75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8.75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8.75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8.75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8.75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8.75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8.75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8.75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8.75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8.75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8.75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8.75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8.75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8.75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8.75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8.75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8.75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8.75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8.75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8.75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8.75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8.75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8.75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8.75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8.75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8.75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8.75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8.75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8.75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8.75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8.75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8.75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8.75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8.75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8.75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5"/>
  <sheetViews>
    <sheetView tabSelected="1" workbookViewId="0">
      <selection activeCell="C15" sqref="C15"/>
    </sheetView>
  </sheetViews>
  <sheetFormatPr defaultRowHeight="15" x14ac:dyDescent="0.25"/>
  <cols>
    <col min="3" max="3" width="16.42578125" customWidth="1"/>
    <col min="4" max="4" width="11.28515625" customWidth="1"/>
    <col min="5" max="5" width="19" bestFit="1" customWidth="1"/>
    <col min="8" max="8" width="10.7109375" bestFit="1" customWidth="1"/>
  </cols>
  <sheetData>
    <row r="1" spans="1:28" ht="18.75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8.75" x14ac:dyDescent="0.3">
      <c r="A2" s="4"/>
      <c r="B2" s="3" t="s">
        <v>135</v>
      </c>
      <c r="C2" s="3" t="s">
        <v>136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8.75" x14ac:dyDescent="0.3">
      <c r="A3" s="4"/>
      <c r="B3" s="11" t="s">
        <v>26</v>
      </c>
      <c r="C3" s="3" t="s">
        <v>137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8.75" x14ac:dyDescent="0.3">
      <c r="A4" s="4"/>
      <c r="B4" s="11" t="s">
        <v>27</v>
      </c>
      <c r="C4" s="3" t="s">
        <v>138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8.75" x14ac:dyDescent="0.3">
      <c r="A5" s="4"/>
      <c r="B5" s="11" t="s">
        <v>121</v>
      </c>
      <c r="C5" s="3" t="s">
        <v>139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8.75" x14ac:dyDescent="0.3">
      <c r="A6" s="4"/>
      <c r="B6" s="11" t="s">
        <v>122</v>
      </c>
      <c r="C6" s="3" t="s">
        <v>140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8.75" x14ac:dyDescent="0.3">
      <c r="A7" s="4"/>
      <c r="B7" s="11" t="s">
        <v>131</v>
      </c>
      <c r="C7" s="3" t="s">
        <v>141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8.75" x14ac:dyDescent="0.3">
      <c r="A8" s="4"/>
      <c r="B8" s="14" t="s">
        <v>142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8.75" x14ac:dyDescent="0.3">
      <c r="A9" s="4"/>
      <c r="B9" s="29" t="s">
        <v>26</v>
      </c>
      <c r="C9" s="30" t="s">
        <v>143</v>
      </c>
      <c r="D9" s="30" t="s">
        <v>144</v>
      </c>
      <c r="E9" s="14"/>
      <c r="F9" s="14"/>
      <c r="G9" s="14"/>
      <c r="H9" s="14"/>
      <c r="I9" s="14"/>
      <c r="J9" s="14"/>
      <c r="K9" s="14"/>
      <c r="L9" s="14"/>
      <c r="M9" s="1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8.75" x14ac:dyDescent="0.3">
      <c r="A10" s="4"/>
      <c r="B10" s="4"/>
      <c r="C10" s="30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8.75" x14ac:dyDescent="0.3">
      <c r="A11" s="4"/>
      <c r="B11" s="4"/>
      <c r="C11" s="30" t="str">
        <f>CONCATENATE(C9, " ", D9)</f>
        <v>Hello World</v>
      </c>
      <c r="D11" s="14"/>
      <c r="E11" s="14"/>
      <c r="F11" s="14"/>
      <c r="G11" s="14"/>
      <c r="H11" s="14" t="s">
        <v>145</v>
      </c>
      <c r="I11" s="14"/>
      <c r="J11" s="14"/>
      <c r="K11" s="14"/>
      <c r="L11" s="14"/>
      <c r="M11" s="1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8.75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8.75" x14ac:dyDescent="0.3">
      <c r="A13" s="4"/>
      <c r="B13" s="29" t="s">
        <v>27</v>
      </c>
      <c r="C13" s="30" t="s">
        <v>146</v>
      </c>
      <c r="D13" s="30" t="s">
        <v>147</v>
      </c>
      <c r="E13" s="30" t="s">
        <v>148</v>
      </c>
      <c r="F13" s="30"/>
      <c r="G13" s="14"/>
      <c r="H13" s="14"/>
      <c r="I13" s="14"/>
      <c r="J13" s="14"/>
      <c r="K13" s="14"/>
      <c r="L13" s="14"/>
      <c r="M13" s="1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8.75" x14ac:dyDescent="0.3">
      <c r="A14" s="4"/>
      <c r="B14" s="4"/>
      <c r="C14" s="30" t="e">
        <f ca="1">TEXTJOIN(", ", TRUE, C13,D13,E13)</f>
        <v>#NAME?</v>
      </c>
      <c r="D14" s="30"/>
      <c r="E14" s="30"/>
      <c r="F14" s="30"/>
      <c r="G14" s="14"/>
      <c r="H14" s="14" t="s">
        <v>149</v>
      </c>
      <c r="I14" s="14"/>
      <c r="J14" s="14"/>
      <c r="K14" s="14"/>
      <c r="L14" s="14"/>
      <c r="M14" s="1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8.75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8.75" x14ac:dyDescent="0.3">
      <c r="A16" s="4"/>
      <c r="B16" s="29" t="s">
        <v>121</v>
      </c>
      <c r="C16" s="30">
        <v>2025</v>
      </c>
      <c r="D16" s="30" t="s">
        <v>150</v>
      </c>
      <c r="E16" s="30" t="s">
        <v>151</v>
      </c>
      <c r="F16" s="30"/>
      <c r="G16" s="14"/>
      <c r="H16" s="14"/>
      <c r="I16" s="14"/>
      <c r="J16" s="14"/>
      <c r="K16" s="14"/>
      <c r="L16" s="14"/>
      <c r="M16" s="1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8.75" x14ac:dyDescent="0.3">
      <c r="A17" s="4"/>
      <c r="B17" s="4"/>
      <c r="C17" s="30" t="str">
        <f>CONCATENATE(C16,D16," ",E16)</f>
        <v>2025: Excel Functions</v>
      </c>
      <c r="D17" s="30"/>
      <c r="E17" s="30"/>
      <c r="F17" s="30"/>
      <c r="G17" s="14"/>
      <c r="H17" s="14" t="s">
        <v>152</v>
      </c>
      <c r="I17" s="14"/>
      <c r="J17" s="14"/>
      <c r="K17" s="14"/>
      <c r="L17" s="14"/>
      <c r="M17" s="1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8.75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8.75" x14ac:dyDescent="0.3">
      <c r="A19" s="4"/>
      <c r="B19" s="29" t="s">
        <v>122</v>
      </c>
      <c r="C19" s="30" t="s">
        <v>154</v>
      </c>
      <c r="D19" s="30"/>
      <c r="E19" s="30"/>
      <c r="F19" s="30"/>
      <c r="G19" s="14"/>
      <c r="H19" s="14"/>
      <c r="I19" s="14"/>
      <c r="J19" s="14"/>
      <c r="K19" s="14"/>
      <c r="L19" s="14"/>
      <c r="M19" s="1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8.75" x14ac:dyDescent="0.3">
      <c r="A20" s="4"/>
      <c r="B20" s="4"/>
      <c r="C20" s="30" t="s">
        <v>153</v>
      </c>
      <c r="D20" s="30"/>
      <c r="E20" s="30" t="e">
        <f ca="1">TEXTJOIN( ",",TRUE, C19:C23)</f>
        <v>#NAME?</v>
      </c>
      <c r="F20" s="30"/>
      <c r="G20" s="14"/>
      <c r="H20" s="14"/>
      <c r="I20" s="14"/>
      <c r="J20" s="14"/>
      <c r="K20" s="14"/>
      <c r="L20" s="14"/>
      <c r="M20" s="1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8.75" x14ac:dyDescent="0.3">
      <c r="A21" s="4"/>
      <c r="B21" s="4"/>
      <c r="C21" s="30" t="s">
        <v>155</v>
      </c>
      <c r="D21" s="30"/>
      <c r="E21" s="30"/>
      <c r="F21" s="30"/>
      <c r="G21" s="14"/>
      <c r="H21" s="14"/>
      <c r="I21" s="14"/>
      <c r="J21" s="14"/>
      <c r="K21" s="14"/>
      <c r="L21" s="14"/>
      <c r="M21" s="1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8.75" x14ac:dyDescent="0.3">
      <c r="A22" s="4"/>
      <c r="B22" s="4"/>
      <c r="C22" s="30" t="s">
        <v>156</v>
      </c>
      <c r="D22" s="30"/>
      <c r="E22" s="30"/>
      <c r="F22" s="30"/>
      <c r="G22" s="14"/>
      <c r="H22" s="14"/>
      <c r="I22" s="14"/>
      <c r="J22" s="14"/>
      <c r="K22" s="14"/>
      <c r="L22" s="14"/>
      <c r="M22" s="1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8.75" x14ac:dyDescent="0.3">
      <c r="A23" s="4"/>
      <c r="B23" s="4"/>
      <c r="C23" s="30" t="s">
        <v>53</v>
      </c>
      <c r="D23" s="30"/>
      <c r="E23" s="30"/>
      <c r="F23" s="30"/>
      <c r="G23" s="14"/>
      <c r="H23" s="14" t="s">
        <v>157</v>
      </c>
      <c r="I23" s="14"/>
      <c r="J23" s="14"/>
      <c r="K23" s="14"/>
      <c r="L23" s="14"/>
      <c r="M23" s="1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8.75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8.75" x14ac:dyDescent="0.3">
      <c r="A25" s="4"/>
      <c r="B25" s="29" t="s">
        <v>131</v>
      </c>
      <c r="C25" s="31" t="s">
        <v>168</v>
      </c>
      <c r="D25" s="31" t="s">
        <v>169</v>
      </c>
      <c r="E25" s="31" t="s">
        <v>170</v>
      </c>
      <c r="F25" s="14"/>
      <c r="G25" s="14"/>
      <c r="H25" s="14"/>
      <c r="I25" s="14"/>
      <c r="J25" s="14"/>
      <c r="K25" s="14"/>
      <c r="L25" s="14"/>
      <c r="M25" s="1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8.75" x14ac:dyDescent="0.3">
      <c r="A26" s="4"/>
      <c r="C26" s="32" t="s">
        <v>158</v>
      </c>
      <c r="D26" s="32" t="s">
        <v>159</v>
      </c>
      <c r="E26" s="32" t="str">
        <f>CONCATENATE(C26, " ", D26)</f>
        <v>Riya Jiyani</v>
      </c>
      <c r="F26" s="14"/>
      <c r="G26" s="14"/>
      <c r="H26" s="14"/>
      <c r="I26" s="14"/>
      <c r="J26" s="14"/>
      <c r="K26" s="14"/>
      <c r="L26" s="14"/>
      <c r="M26" s="1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8.75" x14ac:dyDescent="0.3">
      <c r="A27" s="4"/>
      <c r="B27" s="4"/>
      <c r="C27" s="32" t="s">
        <v>160</v>
      </c>
      <c r="D27" s="32" t="s">
        <v>161</v>
      </c>
      <c r="E27" s="32" t="str">
        <f t="shared" ref="E27:E30" si="0">CONCATENATE(C27, " ", D27)</f>
        <v>Aashima Arora</v>
      </c>
      <c r="F27" s="14"/>
      <c r="G27" s="14"/>
      <c r="H27" s="14"/>
      <c r="I27" s="14"/>
      <c r="J27" s="14"/>
      <c r="K27" s="14"/>
      <c r="L27" s="14"/>
      <c r="M27" s="1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8.75" x14ac:dyDescent="0.3">
      <c r="A28" s="4"/>
      <c r="B28" s="4"/>
      <c r="C28" s="32" t="s">
        <v>162</v>
      </c>
      <c r="D28" s="32" t="s">
        <v>163</v>
      </c>
      <c r="E28" s="32" t="str">
        <f t="shared" si="0"/>
        <v>Sakshi Jain</v>
      </c>
      <c r="F28" s="14"/>
      <c r="G28" s="14"/>
      <c r="H28" s="14"/>
      <c r="I28" s="14"/>
      <c r="J28" s="14"/>
      <c r="K28" s="14"/>
      <c r="L28" s="14"/>
      <c r="M28" s="1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8.75" x14ac:dyDescent="0.3">
      <c r="A29" s="4"/>
      <c r="B29" s="4"/>
      <c r="C29" s="32" t="s">
        <v>164</v>
      </c>
      <c r="D29" s="32" t="s">
        <v>165</v>
      </c>
      <c r="E29" s="32" t="str">
        <f t="shared" si="0"/>
        <v>Mahima Tiwari</v>
      </c>
      <c r="F29" s="14"/>
      <c r="G29" s="14"/>
      <c r="H29" s="14"/>
      <c r="I29" s="14"/>
      <c r="J29" s="14"/>
      <c r="K29" s="14"/>
      <c r="L29" s="14"/>
      <c r="M29" s="1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8.75" x14ac:dyDescent="0.3">
      <c r="A30" s="4"/>
      <c r="B30" s="4"/>
      <c r="C30" s="32" t="s">
        <v>166</v>
      </c>
      <c r="D30" s="32" t="s">
        <v>167</v>
      </c>
      <c r="E30" s="32" t="str">
        <f t="shared" si="0"/>
        <v>Reha Chugh</v>
      </c>
      <c r="F30" s="14"/>
      <c r="G30" s="14"/>
      <c r="H30" s="14" t="s">
        <v>171</v>
      </c>
      <c r="I30" s="14"/>
      <c r="J30" s="14"/>
      <c r="K30" s="14"/>
      <c r="L30" s="14"/>
      <c r="M30" s="1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8.75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8.75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8.75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8.75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8.75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8.75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8.75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8.75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8.75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8.75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8.75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8.75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8.75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8.75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8.75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6"/>
  <sheetViews>
    <sheetView workbookViewId="0">
      <selection activeCell="O24" sqref="O24"/>
    </sheetView>
  </sheetViews>
  <sheetFormatPr defaultRowHeight="15" x14ac:dyDescent="0.25"/>
  <cols>
    <col min="3" max="3" width="30.7109375" customWidth="1"/>
    <col min="4" max="4" width="17" bestFit="1" customWidth="1"/>
    <col min="5" max="5" width="25.5703125" bestFit="1" customWidth="1"/>
  </cols>
  <sheetData>
    <row r="1" spans="1:29" ht="18.75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8.75" x14ac:dyDescent="0.3">
      <c r="A2" s="4"/>
      <c r="B2" s="3" t="s">
        <v>135</v>
      </c>
      <c r="C2" s="3" t="s">
        <v>172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8.75" x14ac:dyDescent="0.3">
      <c r="A3" s="4"/>
      <c r="B3" s="11" t="s">
        <v>26</v>
      </c>
      <c r="C3" s="3" t="s">
        <v>173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8.75" x14ac:dyDescent="0.3">
      <c r="A4" s="4"/>
      <c r="B4" s="11" t="s">
        <v>27</v>
      </c>
      <c r="C4" s="3" t="s">
        <v>174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8.75" x14ac:dyDescent="0.3">
      <c r="A5" s="4"/>
      <c r="B5" s="11" t="s">
        <v>121</v>
      </c>
      <c r="C5" s="3" t="s">
        <v>175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8.75" x14ac:dyDescent="0.3">
      <c r="A6" s="4"/>
      <c r="B6" s="11" t="s">
        <v>122</v>
      </c>
      <c r="C6" s="3" t="s">
        <v>176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8.75" x14ac:dyDescent="0.3">
      <c r="A7" s="4"/>
      <c r="B7" s="11" t="s">
        <v>131</v>
      </c>
      <c r="C7" s="3" t="s">
        <v>177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8.75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8.75" x14ac:dyDescent="0.3">
      <c r="A9" s="4"/>
      <c r="B9" s="13" t="s">
        <v>180</v>
      </c>
      <c r="C9" s="13" t="s">
        <v>178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8.75" x14ac:dyDescent="0.3">
      <c r="A10" s="4"/>
      <c r="B10" s="4"/>
      <c r="C10" s="13" t="s">
        <v>179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8.75" x14ac:dyDescent="0.3">
      <c r="A11" s="4"/>
      <c r="B11" s="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8.75" x14ac:dyDescent="0.3">
      <c r="A12" s="4"/>
      <c r="B12" s="4"/>
      <c r="C12" s="20" t="s">
        <v>181</v>
      </c>
      <c r="D12" s="20"/>
      <c r="E12" s="20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8.75" x14ac:dyDescent="0.3">
      <c r="A13" s="4"/>
      <c r="B13" s="4"/>
      <c r="C13" s="13" t="s">
        <v>183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8.75" x14ac:dyDescent="0.3">
      <c r="A14" s="4"/>
      <c r="B14" s="4"/>
      <c r="C14" s="33">
        <f ca="1">TODAY()</f>
        <v>46036</v>
      </c>
      <c r="D14" s="13"/>
      <c r="E14" s="20" t="s">
        <v>182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8.75" x14ac:dyDescent="0.3">
      <c r="A15" s="4"/>
      <c r="B15" s="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8.75" x14ac:dyDescent="0.3">
      <c r="A16" s="4"/>
      <c r="B16" s="4"/>
      <c r="C16" s="20" t="s">
        <v>184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8.75" x14ac:dyDescent="0.3">
      <c r="A17" s="4"/>
      <c r="B17" s="4"/>
      <c r="C17" s="13" t="s">
        <v>185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8.75" x14ac:dyDescent="0.3">
      <c r="A18" s="4"/>
      <c r="B18" s="4"/>
      <c r="C18" s="13" t="s">
        <v>186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8.75" x14ac:dyDescent="0.3">
      <c r="A19" s="4"/>
      <c r="B19" s="4"/>
      <c r="C19" s="34">
        <f ca="1">NOW()</f>
        <v>46036.66456099537</v>
      </c>
      <c r="D19" s="13"/>
      <c r="E19" s="20" t="s">
        <v>187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8.75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8.75" x14ac:dyDescent="0.3">
      <c r="A21" s="4"/>
      <c r="B21" s="35" t="s">
        <v>27</v>
      </c>
      <c r="C21" s="36" t="s">
        <v>188</v>
      </c>
      <c r="D21" s="36" t="s">
        <v>189</v>
      </c>
      <c r="E21" s="36" t="s">
        <v>190</v>
      </c>
      <c r="F21" s="13"/>
      <c r="G21" s="13"/>
      <c r="H21" s="13"/>
      <c r="I21" s="13"/>
      <c r="J21" s="1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8.75" x14ac:dyDescent="0.3">
      <c r="A22" s="4"/>
      <c r="B22" s="4"/>
      <c r="C22" s="37">
        <v>45818</v>
      </c>
      <c r="D22" s="37">
        <f ca="1">TODAY()</f>
        <v>46036</v>
      </c>
      <c r="E22" s="38">
        <f ca="1">(D22-C22)</f>
        <v>218</v>
      </c>
      <c r="F22" s="13"/>
      <c r="G22" s="20" t="s">
        <v>191</v>
      </c>
      <c r="H22" s="13"/>
      <c r="I22" s="13"/>
      <c r="J22" s="1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8.75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8.75" x14ac:dyDescent="0.3">
      <c r="A24" s="4"/>
      <c r="B24" s="35" t="s">
        <v>121</v>
      </c>
      <c r="C24" s="41">
        <f ca="1">NOW()</f>
        <v>46036.66456099537</v>
      </c>
      <c r="D24" s="20"/>
      <c r="E24" s="20"/>
      <c r="F24" s="20"/>
      <c r="G24" s="20"/>
      <c r="H24" s="20"/>
      <c r="I24" s="13"/>
      <c r="J24" s="1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8.75" x14ac:dyDescent="0.3">
      <c r="A25" s="5"/>
      <c r="B25" s="10"/>
      <c r="C25" s="39"/>
      <c r="D25" s="20"/>
      <c r="E25" s="20"/>
      <c r="F25" s="20"/>
      <c r="G25" s="20"/>
      <c r="H25" s="20"/>
      <c r="I25" s="13"/>
      <c r="J25" s="1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8.75" x14ac:dyDescent="0.3">
      <c r="A26" s="5"/>
      <c r="B26" s="10"/>
      <c r="C26" s="40" t="s">
        <v>196</v>
      </c>
      <c r="D26" s="20"/>
      <c r="E26" s="20"/>
      <c r="F26" s="20"/>
      <c r="G26" s="20"/>
      <c r="H26" s="20"/>
      <c r="I26" s="13"/>
      <c r="J26" s="1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8.75" x14ac:dyDescent="0.3">
      <c r="A27" s="5"/>
      <c r="B27" s="10"/>
      <c r="C27" s="40" t="s">
        <v>197</v>
      </c>
      <c r="D27" s="20"/>
      <c r="E27" s="20"/>
      <c r="F27" s="20"/>
      <c r="G27" s="20"/>
      <c r="H27" s="20"/>
      <c r="I27" s="13"/>
      <c r="J27" s="1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8.75" x14ac:dyDescent="0.3">
      <c r="A28" s="5"/>
      <c r="B28" s="10"/>
      <c r="C28" s="40" t="s">
        <v>198</v>
      </c>
      <c r="D28" s="20"/>
      <c r="E28" s="20"/>
      <c r="F28" s="20"/>
      <c r="G28" s="20"/>
      <c r="H28" s="20"/>
      <c r="I28" s="13"/>
      <c r="J28" s="1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8.75" x14ac:dyDescent="0.3">
      <c r="A29" s="5"/>
      <c r="B29" s="10"/>
      <c r="C29" s="40" t="s">
        <v>199</v>
      </c>
      <c r="D29" s="20"/>
      <c r="E29" s="20"/>
      <c r="F29" s="20"/>
      <c r="G29" s="20"/>
      <c r="H29" s="20"/>
      <c r="I29" s="13"/>
      <c r="J29" s="1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8.75" x14ac:dyDescent="0.3">
      <c r="A30" s="5"/>
      <c r="B30" s="10"/>
      <c r="C30" s="39" t="s">
        <v>195</v>
      </c>
      <c r="D30" s="20"/>
      <c r="E30" s="20"/>
      <c r="F30" s="20"/>
      <c r="G30" s="20"/>
      <c r="H30" s="20"/>
      <c r="I30" s="13"/>
      <c r="J30" s="1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8.75" x14ac:dyDescent="0.3">
      <c r="A31" s="5"/>
      <c r="B31" s="10"/>
      <c r="C31" s="40" t="s">
        <v>200</v>
      </c>
      <c r="D31" s="20"/>
      <c r="E31" s="20"/>
      <c r="F31" s="20"/>
      <c r="G31" s="20"/>
      <c r="H31" s="20"/>
      <c r="I31" s="13"/>
      <c r="J31" s="1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8.75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8.75" x14ac:dyDescent="0.3">
      <c r="A33" s="4"/>
      <c r="B33" s="35" t="s">
        <v>122</v>
      </c>
      <c r="C33" s="20" t="s">
        <v>192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8.75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8.75" x14ac:dyDescent="0.3">
      <c r="A35" s="4"/>
      <c r="B35" s="35" t="s">
        <v>131</v>
      </c>
      <c r="C35" s="20" t="s">
        <v>193</v>
      </c>
      <c r="D35" s="20"/>
      <c r="E35" s="20"/>
      <c r="F35" s="20"/>
      <c r="G35" s="20"/>
      <c r="H35" s="20"/>
      <c r="I35" s="20"/>
      <c r="J35" s="1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8.75" x14ac:dyDescent="0.3">
      <c r="A36" s="4"/>
      <c r="B36" s="4"/>
      <c r="C36" s="20" t="s">
        <v>194</v>
      </c>
      <c r="D36" s="20"/>
      <c r="E36" s="20"/>
      <c r="F36" s="20"/>
      <c r="G36" s="20"/>
      <c r="H36" s="20"/>
      <c r="I36" s="20"/>
      <c r="J36" s="1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8.75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8.75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8.75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8.75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8.75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8.75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8.75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8.75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8.75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8.75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8.75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8.75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8.75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8.75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8.75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8.75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8.75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8.75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8.75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8.75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8.75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8.75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8.75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8.75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8.75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8.75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8.75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8.75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8.75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8.75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8.75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8.75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8.75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8.75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8.75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8.75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8.75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8.75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8.75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8.75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8.75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8.75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8.75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8.75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8.75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8.75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8.75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8.75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8.75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8.75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8.75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8.75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8.75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8.75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8.75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8.75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8.75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8.75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8.75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8.75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8.75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8.75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8.75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8.75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8.75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8.75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8.75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8.75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8.75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8.75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8.75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8.75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8.75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8.75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8.75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8.75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8.75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8.75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8.75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8.75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8.75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8.75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8.75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8.75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8.75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8.75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8.75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8.75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8.75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8.75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8.75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8.75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8.75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8.75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8.75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8.75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8.75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8.75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8.75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8.75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8.75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8.75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8.75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8.75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8.75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8.75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8.75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8.75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8.75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8.75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8.75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8.75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8.75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8.75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8.75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8.75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8.75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8.75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8.75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8.75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ans_1</vt:lpstr>
      <vt:lpstr>ans_2</vt:lpstr>
      <vt:lpstr>ans 3</vt:lpstr>
      <vt:lpstr>ans_4</vt:lpstr>
      <vt:lpstr>ans_5</vt:lpstr>
      <vt:lpstr>ans_6</vt:lpstr>
      <vt:lpstr>ans_7</vt:lpstr>
      <vt:lpstr>ans_8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Minakshi</dc:creator>
  <cp:lastModifiedBy>Minakshi</cp:lastModifiedBy>
  <dcterms:created xsi:type="dcterms:W3CDTF">2026-01-12T16:02:28Z</dcterms:created>
  <dcterms:modified xsi:type="dcterms:W3CDTF">2026-01-14T10:27:14Z</dcterms:modified>
</cp:coreProperties>
</file>